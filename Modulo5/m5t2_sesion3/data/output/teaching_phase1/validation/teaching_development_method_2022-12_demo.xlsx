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umulative" sheetId="2" r:id="rId2"/>
    <sheet name="Incremental" sheetId="3" r:id="rId3"/>
    <sheet name="Factors" sheetId="4" r:id="rId4"/>
    <sheet name="Python Reference" sheetId="5" r:id="rId5"/>
    <sheet name="Formula Calculations" sheetId="6" r:id="rId6"/>
  </sheets>
  <calcPr calcId="124519" fullCalcOnLoad="1"/>
</workbook>
</file>

<file path=xl/sharedStrings.xml><?xml version="1.0" encoding="utf-8"?>
<sst xmlns="http://schemas.openxmlformats.org/spreadsheetml/2006/main" count="831" uniqueCount="237">
  <si>
    <t>Workbook type</t>
  </si>
  <si>
    <t>Development Method — Reference Values</t>
  </si>
  <si>
    <t>Run ID</t>
  </si>
  <si>
    <t>2e32e596-6d90-4aea-ad4e-fb637f8b4696</t>
  </si>
  <si>
    <t>Generated at</t>
  </si>
  <si>
    <t>2026-10-14T19:10:54.500847+00:00</t>
  </si>
  <si>
    <t>Cutoff</t>
  </si>
  <si>
    <t>2022-12</t>
  </si>
  <si>
    <t>Basis</t>
  </si>
  <si>
    <t>month</t>
  </si>
  <si>
    <t>Concept</t>
  </si>
  <si>
    <t>Loss Incurred</t>
  </si>
  <si>
    <t>Level 1</t>
  </si>
  <si>
    <t>Synthetic</t>
  </si>
  <si>
    <t>Level 2</t>
  </si>
  <si>
    <t>Portfolio</t>
  </si>
  <si>
    <t>Level 3</t>
  </si>
  <si>
    <t>Auto</t>
  </si>
  <si>
    <t>Source</t>
  </si>
  <si>
    <t>synthetic_monthly_multiconcept_database.csv (fully synthetic, seed=42)</t>
  </si>
  <si>
    <t>Units</t>
  </si>
  <si>
    <t>Unspecified</t>
  </si>
  <si>
    <t>Method</t>
  </si>
  <si>
    <t>Development Method</t>
  </si>
  <si>
    <t>Selected average</t>
  </si>
  <si>
    <t>VW All</t>
  </si>
  <si>
    <t>Tail factor</t>
  </si>
  <si>
    <t>None</t>
  </si>
  <si>
    <t>Schema version</t>
  </si>
  <si>
    <t>1.0</t>
  </si>
  <si>
    <t>Additional development</t>
  </si>
  <si>
    <t>Windows validation</t>
  </si>
  <si>
    <t>Open in Excel, press Ctrl+Alt+F9, verify Formula Calculations column E matches Python Reference Ultimate.</t>
  </si>
  <si>
    <t>accident_period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</si>
  <si>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</si>
  <si>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</si>
  <si>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</si>
  <si>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</si>
  <si>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</si>
  <si>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</si>
  <si>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</si>
  <si>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</si>
  <si>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</si>
  <si>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</si>
  <si>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</si>
  <si>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</si>
  <si>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</si>
  <si>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</si>
  <si>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</si>
  <si>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</si>
  <si>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</si>
  <si>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</si>
  <si>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</si>
  <si>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</si>
  <si>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</si>
  <si>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</si>
  <si>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</si>
  <si>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</si>
  <si>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</si>
  <si>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</si>
  <si>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</si>
  <si>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</si>
  <si>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</si>
  <si>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</si>
  <si>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</si>
  <si>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</si>
  <si>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</si>
  <si>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</si>
  <si>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</si>
  <si>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</si>
  <si>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</si>
  <si>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</si>
  <si>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</si>
  <si>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</si>
  <si>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</si>
  <si>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</si>
  <si>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</si>
  <si>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</si>
  <si>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</si>
  <si>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</si>
  <si>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</si>
  <si>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</si>
  <si>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</si>
  <si>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</si>
  <si>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</si>
  <si>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</si>
  <si>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</si>
  <si>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</si>
  <si>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</si>
  <si>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</si>
  <si>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</si>
  <si>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</si>
  <si>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</si>
  <si>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</si>
  <si>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</si>
  <si>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</si>
  <si>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</si>
  <si>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</si>
  <si>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</si>
  <si>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</si>
  <si>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</si>
  <si>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</si>
  <si>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</si>
  <si>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</si>
  <si>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</si>
  <si>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</si>
  <si>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</si>
  <si>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</si>
  <si>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</si>
  <si>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</si>
  <si>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</si>
  <si>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</si>
  <si>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</si>
  <si>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</si>
  <si>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</si>
  <si>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</si>
  <si>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</si>
  <si>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ATA Matrix (Age-to-Age Factors)</t>
  </si>
  <si>
    <t>average</t>
  </si>
  <si>
    <t>VW 24</t>
  </si>
  <si>
    <t>VW 12</t>
  </si>
  <si>
    <t>S 12</t>
  </si>
  <si>
    <t>S All</t>
  </si>
  <si>
    <t>Prior Selected</t>
  </si>
  <si>
    <t>Selected</t>
  </si>
  <si>
    <t>ATU Matrix (Age-to-Ultimate)</t>
  </si>
  <si>
    <t>measure</t>
  </si>
  <si>
    <t>Selected ATA</t>
  </si>
  <si>
    <t>Prior Selected ATA</t>
  </si>
  <si>
    <t>ATU</t>
  </si>
  <si>
    <t>Prior ATU</t>
  </si>
  <si>
    <t>% Developed</t>
  </si>
  <si>
    <t>Prior % Developed</t>
  </si>
  <si>
    <t>Python Reference — values calculated in Python</t>
  </si>
  <si>
    <t>actual_development_period</t>
  </si>
  <si>
    <t>atu_period</t>
  </si>
  <si>
    <t>Actual</t>
  </si>
  <si>
    <t>Ultimate</t>
  </si>
  <si>
    <t>additional_development</t>
  </si>
  <si>
    <t>atu_below_1</t>
  </si>
  <si>
    <t>percent_developed_above_1</t>
  </si>
  <si>
    <t>ultimate_below_actual</t>
  </si>
  <si>
    <t>dev_83</t>
  </si>
  <si>
    <t>False</t>
  </si>
  <si>
    <t>dev_82</t>
  </si>
  <si>
    <t>dev_81</t>
  </si>
  <si>
    <t>dev_80</t>
  </si>
  <si>
    <t>dev_79</t>
  </si>
  <si>
    <t>dev_78</t>
  </si>
  <si>
    <t>dev_77</t>
  </si>
  <si>
    <t>dev_76</t>
  </si>
  <si>
    <t>dev_75</t>
  </si>
  <si>
    <t>dev_74</t>
  </si>
  <si>
    <t>dev_73</t>
  </si>
  <si>
    <t>dev_72</t>
  </si>
  <si>
    <t>dev_71</t>
  </si>
  <si>
    <t>dev_70</t>
  </si>
  <si>
    <t>dev_69</t>
  </si>
  <si>
    <t>dev_68</t>
  </si>
  <si>
    <t>dev_67</t>
  </si>
  <si>
    <t>dev_66</t>
  </si>
  <si>
    <t>dev_65</t>
  </si>
  <si>
    <t>dev_64</t>
  </si>
  <si>
    <t>dev_63</t>
  </si>
  <si>
    <t>dev_62</t>
  </si>
  <si>
    <t>dev_61</t>
  </si>
  <si>
    <t>dev_60</t>
  </si>
  <si>
    <t>dev_59</t>
  </si>
  <si>
    <t>dev_58</t>
  </si>
  <si>
    <t>dev_57</t>
  </si>
  <si>
    <t>dev_56</t>
  </si>
  <si>
    <t>dev_55</t>
  </si>
  <si>
    <t>dev_54</t>
  </si>
  <si>
    <t>dev_53</t>
  </si>
  <si>
    <t>dev_52</t>
  </si>
  <si>
    <t>dev_51</t>
  </si>
  <si>
    <t>dev_50</t>
  </si>
  <si>
    <t>dev_49</t>
  </si>
  <si>
    <t>dev_48</t>
  </si>
  <si>
    <t>dev_47</t>
  </si>
  <si>
    <t>dev_46</t>
  </si>
  <si>
    <t>dev_45</t>
  </si>
  <si>
    <t>dev_44</t>
  </si>
  <si>
    <t>dev_43</t>
  </si>
  <si>
    <t>dev_42</t>
  </si>
  <si>
    <t>dev_41</t>
  </si>
  <si>
    <t>dev_40</t>
  </si>
  <si>
    <t>dev_39</t>
  </si>
  <si>
    <t>dev_38</t>
  </si>
  <si>
    <t>dev_37</t>
  </si>
  <si>
    <t>dev_36</t>
  </si>
  <si>
    <t>dev_35</t>
  </si>
  <si>
    <t>dev_34</t>
  </si>
  <si>
    <t>dev_33</t>
  </si>
  <si>
    <t>dev_32</t>
  </si>
  <si>
    <t>dev_31</t>
  </si>
  <si>
    <t>dev_30</t>
  </si>
  <si>
    <t>dev_29</t>
  </si>
  <si>
    <t>dev_28</t>
  </si>
  <si>
    <t>dev_27</t>
  </si>
  <si>
    <t>dev_26</t>
  </si>
  <si>
    <t>dev_25</t>
  </si>
  <si>
    <t>dev_24</t>
  </si>
  <si>
    <t>dev_23</t>
  </si>
  <si>
    <t>dev_22</t>
  </si>
  <si>
    <t>dev_21</t>
  </si>
  <si>
    <t>dev_20</t>
  </si>
  <si>
    <t>dev_19</t>
  </si>
  <si>
    <t>dev_18</t>
  </si>
  <si>
    <t>dev_17</t>
  </si>
  <si>
    <t>dev_16</t>
  </si>
  <si>
    <t>dev_15</t>
  </si>
  <si>
    <t>dev_14</t>
  </si>
  <si>
    <t>dev_13</t>
  </si>
  <si>
    <t>dev_12</t>
  </si>
  <si>
    <t>dev_11</t>
  </si>
  <si>
    <t>dev_10</t>
  </si>
  <si>
    <t>dev_9</t>
  </si>
  <si>
    <t>dev_8</t>
  </si>
  <si>
    <t>dev_7</t>
  </si>
  <si>
    <t>dev_6</t>
  </si>
  <si>
    <t>dev_5</t>
  </si>
  <si>
    <t>dev_4</t>
  </si>
  <si>
    <t>dev_3</t>
  </si>
  <si>
    <t>dev_2</t>
  </si>
  <si>
    <t>dev_1</t>
  </si>
  <si>
    <t>dev_0</t>
  </si>
  <si>
    <t>Formula Calculations — formulas link to Python Reference.  Libraries write formulas but do not calculate them.  Press Ctrl+Alt+F9 in Excel and verify column E matches Python Reference Ultimate.</t>
  </si>
  <si>
    <t>current_incurred</t>
  </si>
  <si>
    <t>pct_developed</t>
  </si>
  <si>
    <t>atu_product_check (=B*C)</t>
  </si>
  <si>
    <t>ultimate_pct_dev (=B/D)</t>
  </si>
  <si>
    <t>additional_dev (=E-B)</t>
  </si>
  <si>
    <t>calculation_note</t>
  </si>
  <si>
    <t>Press Ctrl+Alt+F9 to force recalculation; columns E and F should both match Python Reference Ultimate.</t>
  </si>
  <si>
    <t>Changing the ATU value in column C updates columns E and G through the formula chain.</t>
  </si>
  <si>
    <t>An ATU of 1.0 produces additional_development = 0 (current_incurred = ultimate).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</si>
</sst>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000"/>
    <numFmt numFmtId="166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CCCCC"/>
      <name val="Calibri"/>
      <family val="2"/>
      <scheme val="minor"/>
    </font>
    <font>
      <sz val="11"/>
      <color rgb="FFAAAAAA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1" fillId="4" borderId="0" xfId="0" applyFont="1" applyFill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1" fillId="5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6.7109375" customWidth="1"/>
    <col min="2" max="2" width="72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B16" s="2"/>
    </row>
    <row r="17" spans="1:2">
      <c r="A17" s="1" t="s">
        <v>30</v>
      </c>
      <c r="B17" s="2">
        <f> Ultimate - Current Incurred.  NOT equivalent to total IBNR without additional data.</f>
        <v>0</v>
      </c>
    </row>
    <row r="18" spans="1:2">
      <c r="B18" s="2"/>
    </row>
    <row r="19" spans="1:2">
      <c r="A19" s="1" t="s">
        <v>31</v>
      </c>
      <c r="B19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G85"/>
  <sheetViews>
    <sheetView workbookViewId="0"/>
  </sheetViews>
  <sheetFormatPr defaultRowHeight="15"/>
  <cols>
    <col min="1" max="1" width="14.7109375" customWidth="1"/>
    <col min="2" max="85" width="10.7109375" customWidth="1"/>
  </cols>
  <sheetData>
    <row r="1" spans="1:85">
      <c r="A1" s="3" t="s">
        <v>33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3">
        <v>65</v>
      </c>
      <c r="BP1" s="3">
        <v>66</v>
      </c>
      <c r="BQ1" s="3">
        <v>67</v>
      </c>
      <c r="BR1" s="3">
        <v>68</v>
      </c>
      <c r="BS1" s="3">
        <v>69</v>
      </c>
      <c r="BT1" s="3">
        <v>70</v>
      </c>
      <c r="BU1" s="3">
        <v>71</v>
      </c>
      <c r="BV1" s="3">
        <v>72</v>
      </c>
      <c r="BW1" s="3">
        <v>73</v>
      </c>
      <c r="BX1" s="3">
        <v>74</v>
      </c>
      <c r="BY1" s="3">
        <v>75</v>
      </c>
      <c r="BZ1" s="3">
        <v>76</v>
      </c>
      <c r="CA1" s="3">
        <v>77</v>
      </c>
      <c r="CB1" s="3">
        <v>78</v>
      </c>
      <c r="CC1" s="3">
        <v>79</v>
      </c>
      <c r="CD1" s="3">
        <v>80</v>
      </c>
      <c r="CE1" s="3">
        <v>81</v>
      </c>
      <c r="CF1" s="3">
        <v>82</v>
      </c>
      <c r="CG1" s="3">
        <v>83</v>
      </c>
    </row>
    <row r="2" spans="1:85">
      <c r="A2" t="s">
        <v>34</v>
      </c>
      <c r="B2" s="4">
        <v>37434.05706458991</v>
      </c>
      <c r="C2" s="4">
        <v>42532.1065718187</v>
      </c>
      <c r="D2" s="4">
        <v>48179.60639428218</v>
      </c>
      <c r="E2" s="4">
        <v>54396.38173169061</v>
      </c>
      <c r="F2" s="4">
        <v>61192.41236244572</v>
      </c>
      <c r="G2" s="4">
        <v>68565.45042445816</v>
      </c>
      <c r="H2" s="4">
        <v>76498.85625547188</v>
      </c>
      <c r="I2" s="4">
        <v>84959.90470780346</v>
      </c>
      <c r="J2" s="4">
        <v>93898.82865815234</v>
      </c>
      <c r="K2" s="4">
        <v>103248.8422941583</v>
      </c>
      <c r="L2" s="4">
        <v>112927.3167049174</v>
      </c>
      <c r="M2" s="4">
        <v>122838.1658655467</v>
      </c>
      <c r="N2" s="4">
        <v>132875.355381351</v>
      </c>
      <c r="O2" s="4">
        <v>142927.2933092156</v>
      </c>
      <c r="P2" s="4">
        <v>152881.7321180592</v>
      </c>
      <c r="Q2" s="4">
        <v>162630.7317923511</v>
      </c>
      <c r="R2" s="4">
        <v>172075.2244603798</v>
      </c>
      <c r="S2" s="4">
        <v>181128.7830078852</v>
      </c>
      <c r="T2" s="4">
        <v>189720.3154736687</v>
      </c>
      <c r="U2" s="4">
        <v>197795.5571047259</v>
      </c>
      <c r="V2" s="4">
        <v>205317.3822668953</v>
      </c>
      <c r="W2" s="4">
        <v>212265.082776522</v>
      </c>
      <c r="X2" s="4">
        <v>218632.8414734236</v>
      </c>
      <c r="Y2" s="4">
        <v>224427.6655796697</v>
      </c>
      <c r="Z2" s="4">
        <v>229667.0390662328</v>
      </c>
      <c r="AA2" s="4">
        <v>234376.5183651355</v>
      </c>
      <c r="AB2" s="4">
        <v>238587.4446052421</v>
      </c>
      <c r="AC2" s="4">
        <v>242334.8899645552</v>
      </c>
      <c r="AD2" s="4">
        <v>245655.9043602336</v>
      </c>
      <c r="AE2" s="4">
        <v>248588.0865501419</v>
      </c>
      <c r="AF2" s="4">
        <v>251168.4726694326</v>
      </c>
      <c r="AG2" s="4">
        <v>253432.7149160735</v>
      </c>
      <c r="AH2" s="4">
        <v>255414.5118914096</v>
      </c>
      <c r="AI2" s="4">
        <v>257145.2478453942</v>
      </c>
      <c r="AJ2" s="4">
        <v>258653.7986311774</v>
      </c>
      <c r="AK2" s="4">
        <v>259966.4657002721</v>
      </c>
      <c r="AL2" s="4">
        <v>261107.0045407169</v>
      </c>
      <c r="AM2" s="4">
        <v>262096.7195640114</v>
      </c>
      <c r="AN2" s="4">
        <v>262954.6029263149</v>
      </c>
      <c r="AO2" s="4">
        <v>263697.4997469493</v>
      </c>
      <c r="AP2" s="4">
        <v>264340.286482832</v>
      </c>
      <c r="AQ2" s="4">
        <v>264896.0527828857</v>
      </c>
      <c r="AR2" s="4">
        <v>265376.2800132969</v>
      </c>
      <c r="AS2" s="4">
        <v>265791.0118868379</v>
      </c>
      <c r="AT2" s="4">
        <v>266149.0143391304</v>
      </c>
      <c r="AU2" s="4">
        <v>266457.9230656805</v>
      </c>
      <c r="AV2" s="4">
        <v>266724.3780532085</v>
      </c>
      <c r="AW2" s="4">
        <v>266954.1450838759</v>
      </c>
      <c r="AX2" s="4">
        <v>267152.2246259717</v>
      </c>
      <c r="AY2" s="4">
        <v>267322.9488020728</v>
      </c>
      <c r="AZ2" s="4">
        <v>267470.0672874975</v>
      </c>
      <c r="BA2" s="4">
        <v>267596.8230706777</v>
      </c>
      <c r="BB2" s="4">
        <v>267706.0190278635</v>
      </c>
      <c r="BC2" s="4">
        <v>267800.0762461477</v>
      </c>
      <c r="BD2" s="4">
        <v>267881.0849850904</v>
      </c>
      <c r="BE2" s="4">
        <v>267950.8491083286</v>
      </c>
      <c r="BF2" s="4">
        <v>268010.9247497321</v>
      </c>
      <c r="BG2" s="4">
        <v>268062.6539089118</v>
      </c>
      <c r="BH2" s="4">
        <v>268107.1936016328</v>
      </c>
      <c r="BI2" s="4">
        <v>268145.5411241348</v>
      </c>
      <c r="BJ2" s="4">
        <v>268178.5559278693</v>
      </c>
      <c r="BK2" s="4">
        <v>268206.9785434725</v>
      </c>
      <c r="BL2" s="4">
        <v>268231.446940215</v>
      </c>
      <c r="BM2" s="4">
        <v>268252.5106597337</v>
      </c>
      <c r="BN2" s="4">
        <v>268270.6430203922</v>
      </c>
      <c r="BO2" s="4">
        <v>268286.25165086</v>
      </c>
      <c r="BP2" s="4">
        <v>268299.6875780997</v>
      </c>
      <c r="BQ2" s="4">
        <v>268311.2530655251</v>
      </c>
      <c r="BR2" s="4">
        <v>268321.2083712722</v>
      </c>
      <c r="BS2" s="4">
        <v>268329.7775739228</v>
      </c>
      <c r="BT2" s="4">
        <v>268337.1535932962</v>
      </c>
      <c r="BU2" s="4">
        <v>268343.502516733</v>
      </c>
      <c r="BV2" s="4">
        <v>268348.9673263583</v>
      </c>
      <c r="BW2" s="4">
        <v>268353.6711098305</v>
      </c>
      <c r="BX2" s="4">
        <v>268357.7198258335</v>
      </c>
      <c r="BY2" s="4">
        <v>268361.2046858204</v>
      </c>
      <c r="BZ2" s="4">
        <v>268364.2042050841</v>
      </c>
      <c r="CA2" s="4">
        <v>268366.7859689332</v>
      </c>
      <c r="CB2" s="4">
        <v>268369.0081534497</v>
      </c>
      <c r="CC2" s="4">
        <v>268370.9208348574</v>
      </c>
      <c r="CD2" s="4">
        <v>268372.5671168332</v>
      </c>
      <c r="CE2" s="4">
        <v>268373.9841010349</v>
      </c>
      <c r="CF2" s="4">
        <v>268375.2037226217</v>
      </c>
      <c r="CG2" s="4">
        <v>268376.2534695262</v>
      </c>
    </row>
    <row r="3" spans="1:85">
      <c r="A3" t="s">
        <v>35</v>
      </c>
      <c r="B3" s="4">
        <v>88815.64817855354</v>
      </c>
      <c r="C3" s="4">
        <v>101103.4819938904</v>
      </c>
      <c r="D3" s="4">
        <v>114770.4347806583</v>
      </c>
      <c r="E3" s="4">
        <v>129882.0364878586</v>
      </c>
      <c r="F3" s="4">
        <v>146482.578817548</v>
      </c>
      <c r="G3" s="4">
        <v>164588.8689600384</v>
      </c>
      <c r="H3" s="4">
        <v>184184.1542208184</v>
      </c>
      <c r="I3" s="4">
        <v>205212.8052670151</v>
      </c>
      <c r="J3" s="4">
        <v>227576.4335486374</v>
      </c>
      <c r="K3" s="4">
        <v>251132.1279927909</v>
      </c>
      <c r="L3" s="4">
        <v>275693.3979734748</v>
      </c>
      <c r="M3" s="4">
        <v>301034.1905598433</v>
      </c>
      <c r="N3" s="4">
        <v>326896.0229480416</v>
      </c>
      <c r="O3" s="4">
        <v>352997.8791173228</v>
      </c>
      <c r="P3" s="4">
        <v>379048.1320094941</v>
      </c>
      <c r="Q3" s="4">
        <v>404757.4481401852</v>
      </c>
      <c r="R3" s="4">
        <v>429851.4783340754</v>
      </c>
      <c r="S3" s="4">
        <v>454082.1719283121</v>
      </c>
      <c r="T3" s="4">
        <v>477236.7643867136</v>
      </c>
      <c r="U3" s="4">
        <v>499143.8308535062</v>
      </c>
      <c r="V3" s="4">
        <v>519676.1963028464</v>
      </c>
      <c r="W3" s="4">
        <v>538750.8687482824</v>
      </c>
      <c r="X3" s="4">
        <v>556326.4543437366</v>
      </c>
      <c r="Y3" s="4">
        <v>572398.6895390854</v>
      </c>
      <c r="Z3" s="4">
        <v>586994.7830254443</v>
      </c>
      <c r="AA3" s="4">
        <v>600167.2192341827</v>
      </c>
      <c r="AB3" s="4">
        <v>611987.5679841458</v>
      </c>
      <c r="AC3" s="4">
        <v>622540.7055804164</v>
      </c>
      <c r="AD3" s="4">
        <v>631919.7097699088</v>
      </c>
      <c r="AE3" s="4">
        <v>640221.5639718078</v>
      </c>
      <c r="AF3" s="4">
        <v>647543.7054226378</v>
      </c>
      <c r="AG3" s="4">
        <v>653981.3801211702</v>
      </c>
      <c r="AH3" s="4">
        <v>659625.7225323955</v>
      </c>
      <c r="AI3" s="4">
        <v>664562.4550656386</v>
      </c>
      <c r="AJ3" s="4">
        <v>668871.095691065</v>
      </c>
      <c r="AK3" s="4">
        <v>672624.5663293207</v>
      </c>
      <c r="AL3" s="4">
        <v>675889.105378392</v>
      </c>
      <c r="AM3" s="4">
        <v>678724.4015649261</v>
      </c>
      <c r="AN3" s="4">
        <v>681183.8808999424</v>
      </c>
      <c r="AO3" s="4">
        <v>683315.0924220629</v>
      </c>
      <c r="AP3" s="4">
        <v>685160.1508214904</v>
      </c>
      <c r="AQ3" s="4">
        <v>686756.2046097615</v>
      </c>
      <c r="AR3" s="4">
        <v>688135.9071847448</v>
      </c>
      <c r="AS3" s="4">
        <v>689327.8750619522</v>
      </c>
      <c r="AT3" s="4">
        <v>690357.1229140765</v>
      </c>
      <c r="AU3" s="4">
        <v>691245.4691241991</v>
      </c>
      <c r="AV3" s="4">
        <v>692011.9085548403</v>
      </c>
      <c r="AW3" s="4">
        <v>692672.9513841463</v>
      </c>
      <c r="AX3" s="4">
        <v>693242.9283514814</v>
      </c>
      <c r="AY3" s="4">
        <v>693734.2637452205</v>
      </c>
      <c r="AZ3" s="4">
        <v>694157.7180833407</v>
      </c>
      <c r="BA3" s="4">
        <v>694522.602783307</v>
      </c>
      <c r="BB3" s="4">
        <v>694836.9692700232</v>
      </c>
      <c r="BC3" s="4">
        <v>695107.7749887895</v>
      </c>
      <c r="BD3" s="4">
        <v>695341.0287188819</v>
      </c>
      <c r="BE3" s="4">
        <v>695541.9174553787</v>
      </c>
      <c r="BF3" s="4">
        <v>695714.9169659405</v>
      </c>
      <c r="BG3" s="4">
        <v>695863.8879522484</v>
      </c>
      <c r="BH3" s="4">
        <v>695992.1595643329</v>
      </c>
      <c r="BI3" s="4">
        <v>696102.6018378799</v>
      </c>
      <c r="BJ3" s="4">
        <v>696197.6884547733</v>
      </c>
      <c r="BK3" s="4">
        <v>696279.5510685667</v>
      </c>
      <c r="BL3" s="4">
        <v>696350.0262908252</v>
      </c>
      <c r="BM3" s="4">
        <v>696410.6963018933</v>
      </c>
      <c r="BN3" s="4">
        <v>696462.923930523</v>
      </c>
      <c r="BO3" s="4">
        <v>696507.8829403918</v>
      </c>
      <c r="BP3" s="4">
        <v>696546.5841670927</v>
      </c>
      <c r="BQ3" s="4">
        <v>696579.8980657313</v>
      </c>
      <c r="BR3" s="4">
        <v>696608.574155851</v>
      </c>
      <c r="BS3" s="4">
        <v>696633.2577860311</v>
      </c>
      <c r="BT3" s="4">
        <v>696654.5045842156</v>
      </c>
      <c r="BU3" s="4">
        <v>696672.7929107212</v>
      </c>
      <c r="BV3" s="4">
        <v>696688.5345881281</v>
      </c>
      <c r="BW3" s="4">
        <v>696702.0841450944</v>
      </c>
      <c r="BX3" s="4">
        <v>696713.7467788915</v>
      </c>
      <c r="BY3" s="4">
        <v>696723.785213497</v>
      </c>
      <c r="BZ3" s="4">
        <v>696732.4256058747</v>
      </c>
      <c r="CA3" s="4">
        <v>696739.8626321246</v>
      </c>
      <c r="CB3" s="4">
        <v>696746.2638670752</v>
      </c>
      <c r="CC3" s="4">
        <v>696751.773555244</v>
      </c>
      <c r="CD3" s="4">
        <v>696756.5158575763</v>
      </c>
      <c r="CE3" s="4">
        <v>696760.5976467138</v>
      </c>
      <c r="CF3" s="4">
        <v>696764.1109134787</v>
      </c>
      <c r="CG3" s="5"/>
    </row>
    <row r="4" spans="1:85">
      <c r="A4" t="s">
        <v>36</v>
      </c>
      <c r="B4" s="4">
        <v>154494.6970620729</v>
      </c>
      <c r="C4" s="4">
        <v>175438.9581575788</v>
      </c>
      <c r="D4" s="4">
        <v>198613.7961063216</v>
      </c>
      <c r="E4" s="4">
        <v>224092.2672788613</v>
      </c>
      <c r="F4" s="4">
        <v>251905.9291008347</v>
      </c>
      <c r="G4" s="4">
        <v>282035.3413203941</v>
      </c>
      <c r="H4" s="4">
        <v>314401.6285909472</v>
      </c>
      <c r="I4" s="4">
        <v>348860.1416137413</v>
      </c>
      <c r="J4" s="4">
        <v>385197.2857430316</v>
      </c>
      <c r="K4" s="4">
        <v>423131.4550203136</v>
      </c>
      <c r="L4" s="4">
        <v>462318.6916871977</v>
      </c>
      <c r="M4" s="4">
        <v>502363.2008763076</v>
      </c>
      <c r="N4" s="4">
        <v>542832.2491543508</v>
      </c>
      <c r="O4" s="4">
        <v>583274.3670530868</v>
      </c>
      <c r="P4" s="4">
        <v>623239.2823328845</v>
      </c>
      <c r="Q4" s="4">
        <v>662297.7415706749</v>
      </c>
      <c r="R4" s="4">
        <v>700059.3952421732</v>
      </c>
      <c r="S4" s="4">
        <v>736187.2216373191</v>
      </c>
      <c r="T4" s="4">
        <v>770407.4782842397</v>
      </c>
      <c r="U4" s="4">
        <v>802514.7835108002</v>
      </c>
      <c r="V4" s="4">
        <v>832372.5234009335</v>
      </c>
      <c r="W4" s="4">
        <v>859909.2516054976</v>
      </c>
      <c r="X4" s="4">
        <v>885112.0450968073</v>
      </c>
      <c r="Y4" s="4">
        <v>908017.8887316062</v>
      </c>
      <c r="Z4" s="4">
        <v>928704.1134238906</v>
      </c>
      <c r="AA4" s="4">
        <v>947278.7556942096</v>
      </c>
      <c r="AB4" s="4">
        <v>963871.4935999594</v>
      </c>
      <c r="AC4" s="4">
        <v>978625.591190445</v>
      </c>
      <c r="AD4" s="4">
        <v>991691.0826768064</v>
      </c>
      <c r="AE4" s="4">
        <v>1003219.266008455</v>
      </c>
      <c r="AF4" s="4">
        <v>1013358.459037533</v>
      </c>
      <c r="AG4" s="4">
        <v>1022250.897234214</v>
      </c>
      <c r="AH4" s="4">
        <v>1030030.612786921</v>
      </c>
      <c r="AI4" s="4">
        <v>1036822.122099534</v>
      </c>
      <c r="AJ4" s="4">
        <v>1042739.753729772</v>
      </c>
      <c r="AK4" s="4">
        <v>1047887.464586984</v>
      </c>
      <c r="AL4" s="4">
        <v>1052359.013304061</v>
      </c>
      <c r="AM4" s="4">
        <v>1056238.382334559</v>
      </c>
      <c r="AN4" s="4">
        <v>1059600.362098977</v>
      </c>
      <c r="AO4" s="4">
        <v>1062511.230064457</v>
      </c>
      <c r="AP4" s="4">
        <v>1065029.474385567</v>
      </c>
      <c r="AQ4" s="4">
        <v>1067206.525541438</v>
      </c>
      <c r="AR4" s="4">
        <v>1069087.470445837</v>
      </c>
      <c r="AS4" s="4">
        <v>1070711.732100288</v>
      </c>
      <c r="AT4" s="4">
        <v>1072113.704381224</v>
      </c>
      <c r="AU4" s="4">
        <v>1073323.336375886</v>
      </c>
      <c r="AV4" s="4">
        <v>1074366.664153084</v>
      </c>
      <c r="AW4" s="4">
        <v>1075266.290273596</v>
      </c>
      <c r="AX4" s="4">
        <v>1076041.812961196</v>
      </c>
      <c r="AY4" s="4">
        <v>1076710.207872436</v>
      </c>
      <c r="AZ4" s="4">
        <v>1077286.165982339</v>
      </c>
      <c r="BA4" s="4">
        <v>1077782.391369201</v>
      </c>
      <c r="BB4" s="4">
        <v>1078209.862730256</v>
      </c>
      <c r="BC4" s="4">
        <v>1078578.062362628</v>
      </c>
      <c r="BD4" s="4">
        <v>1078895.176153576</v>
      </c>
      <c r="BE4" s="4">
        <v>1079168.267878866</v>
      </c>
      <c r="BF4" s="4">
        <v>1079403.430835426</v>
      </c>
      <c r="BG4" s="4">
        <v>1079605.919552966</v>
      </c>
      <c r="BH4" s="4">
        <v>1079780.26405189</v>
      </c>
      <c r="BI4" s="4">
        <v>1079930.368849551</v>
      </c>
      <c r="BJ4" s="4">
        <v>1080059.598668763</v>
      </c>
      <c r="BK4" s="4">
        <v>1080170.852573952</v>
      </c>
      <c r="BL4" s="4">
        <v>1080266.628052598</v>
      </c>
      <c r="BM4" s="4">
        <v>1080349.076372407</v>
      </c>
      <c r="BN4" s="4">
        <v>1080420.050377395</v>
      </c>
      <c r="BO4" s="4">
        <v>1080481.145737414</v>
      </c>
      <c r="BP4" s="4">
        <v>1080533.736534339</v>
      </c>
      <c r="BQ4" s="4">
        <v>1080579.005952462</v>
      </c>
      <c r="BR4" s="4">
        <v>1080617.972739264</v>
      </c>
      <c r="BS4" s="4">
        <v>1080651.514013985</v>
      </c>
      <c r="BT4" s="4">
        <v>1080680.384924049</v>
      </c>
      <c r="BU4" s="4">
        <v>1080705.235581948</v>
      </c>
      <c r="BV4" s="4">
        <v>1080726.625656632</v>
      </c>
      <c r="BW4" s="4">
        <v>1080745.036942574</v>
      </c>
      <c r="BX4" s="4">
        <v>1080760.884185575</v>
      </c>
      <c r="BY4" s="4">
        <v>1080774.524406185</v>
      </c>
      <c r="BZ4" s="4">
        <v>1080786.264928574</v>
      </c>
      <c r="CA4" s="4">
        <v>1080796.370294099</v>
      </c>
      <c r="CB4" s="4">
        <v>1080805.068214133</v>
      </c>
      <c r="CC4" s="4">
        <v>1080812.554695389</v>
      </c>
      <c r="CD4" s="4">
        <v>1080818.998452572</v>
      </c>
      <c r="CE4" s="4">
        <v>1080824.544707305</v>
      </c>
      <c r="CF4" s="5"/>
      <c r="CG4" s="5"/>
    </row>
    <row r="5" spans="1:85">
      <c r="A5" t="s">
        <v>37</v>
      </c>
      <c r="B5" s="4">
        <v>103617.0934360593</v>
      </c>
      <c r="C5" s="4">
        <v>117427.0829441961</v>
      </c>
      <c r="D5" s="4">
        <v>132643.1572841062</v>
      </c>
      <c r="E5" s="4">
        <v>149293.8408641394</v>
      </c>
      <c r="F5" s="4">
        <v>167378.1446687522</v>
      </c>
      <c r="G5" s="4">
        <v>186860.0882042358</v>
      </c>
      <c r="H5" s="4">
        <v>207664.2965146172</v>
      </c>
      <c r="I5" s="4">
        <v>229673.3338068872</v>
      </c>
      <c r="J5" s="4">
        <v>252727.3902156848</v>
      </c>
      <c r="K5" s="4">
        <v>276626.7808346248</v>
      </c>
      <c r="L5" s="4">
        <v>301137.4465011054</v>
      </c>
      <c r="M5" s="4">
        <v>325999.2922868293</v>
      </c>
      <c r="N5" s="4">
        <v>350936.8183471785</v>
      </c>
      <c r="O5" s="4">
        <v>375671.1623078153</v>
      </c>
      <c r="P5" s="4">
        <v>399932.4550617339</v>
      </c>
      <c r="Q5" s="4">
        <v>423471.3425651089</v>
      </c>
      <c r="R5" s="4">
        <v>446068.6565502138</v>
      </c>
      <c r="S5" s="4">
        <v>467542.4965834966</v>
      </c>
      <c r="T5" s="4">
        <v>487752.3519438867</v>
      </c>
      <c r="U5" s="4">
        <v>506600.2688032165</v>
      </c>
      <c r="V5" s="4">
        <v>524029.3886677294</v>
      </c>
      <c r="W5" s="4">
        <v>540020.4039323617</v>
      </c>
      <c r="X5" s="4">
        <v>554586.5807858175</v>
      </c>
      <c r="Y5" s="4">
        <v>567767.9992613954</v>
      </c>
      <c r="Z5" s="4">
        <v>579625.5820030635</v>
      </c>
      <c r="AA5" s="4">
        <v>590235.3601903432</v>
      </c>
      <c r="AB5" s="4">
        <v>599683.2872709243</v>
      </c>
      <c r="AC5" s="4">
        <v>608060.7813533254</v>
      </c>
      <c r="AD5" s="4">
        <v>615461.0689620933</v>
      </c>
      <c r="AE5" s="4">
        <v>621976.3219643936</v>
      </c>
      <c r="AF5" s="4">
        <v>627695.5255826121</v>
      </c>
      <c r="AG5" s="4">
        <v>632702.9847654954</v>
      </c>
      <c r="AH5" s="4">
        <v>637077.3635532151</v>
      </c>
      <c r="AI5" s="4">
        <v>640891.1520745697</v>
      </c>
      <c r="AJ5" s="4">
        <v>644210.4637654359</v>
      </c>
      <c r="AK5" s="4">
        <v>647095.0776100542</v>
      </c>
      <c r="AL5" s="4">
        <v>649598.6540328336</v>
      </c>
      <c r="AM5" s="4">
        <v>651769.0667693425</v>
      </c>
      <c r="AN5" s="4">
        <v>653648.8055984374</v>
      </c>
      <c r="AO5" s="4">
        <v>655275.4157190176</v>
      </c>
      <c r="AP5" s="4">
        <v>656681.948648137</v>
      </c>
      <c r="AQ5" s="4">
        <v>657897.4068590786</v>
      </c>
      <c r="AR5" s="4">
        <v>658947.1701418603</v>
      </c>
      <c r="AS5" s="4">
        <v>659853.396078748</v>
      </c>
      <c r="AT5" s="4">
        <v>660635.3903176183</v>
      </c>
      <c r="AU5" s="4">
        <v>661309.9447163498</v>
      </c>
      <c r="AV5" s="4">
        <v>661891.6431160183</v>
      </c>
      <c r="AW5" s="4">
        <v>662393.1356436457</v>
      </c>
      <c r="AX5" s="4">
        <v>662825.3831811022</v>
      </c>
      <c r="AY5" s="4">
        <v>663197.8740727648</v>
      </c>
      <c r="AZ5" s="4">
        <v>663518.815364628</v>
      </c>
      <c r="BA5" s="4">
        <v>663795.3009361335</v>
      </c>
      <c r="BB5" s="4">
        <v>664033.4588515759</v>
      </c>
      <c r="BC5" s="4">
        <v>664238.5801566264</v>
      </c>
      <c r="BD5" s="4">
        <v>664415.2312035396</v>
      </c>
      <c r="BE5" s="4">
        <v>664567.3514247781</v>
      </c>
      <c r="BF5" s="4">
        <v>664698.3383022647</v>
      </c>
      <c r="BG5" s="4">
        <v>664811.1211071704</v>
      </c>
      <c r="BH5" s="4">
        <v>664908.2248189455</v>
      </c>
      <c r="BI5" s="4">
        <v>664991.8254757893</v>
      </c>
      <c r="BJ5" s="4">
        <v>665063.7980639616</v>
      </c>
      <c r="BK5" s="4">
        <v>665125.7579211759</v>
      </c>
      <c r="BL5" s="4">
        <v>665179.0965099127</v>
      </c>
      <c r="BM5" s="4">
        <v>665225.0123095216</v>
      </c>
      <c r="BN5" s="4">
        <v>665264.5374807687</v>
      </c>
      <c r="BO5" s="4">
        <v>665298.5608722067</v>
      </c>
      <c r="BP5" s="4">
        <v>665327.8478634552</v>
      </c>
      <c r="BQ5" s="4">
        <v>665353.0574752538</v>
      </c>
      <c r="BR5" s="4">
        <v>665374.7571190476</v>
      </c>
      <c r="BS5" s="4">
        <v>665393.4353089882</v>
      </c>
      <c r="BT5" s="4">
        <v>665409.5126158011</v>
      </c>
      <c r="BU5" s="4">
        <v>665423.3511041588</v>
      </c>
      <c r="BV5" s="4">
        <v>665435.2624623947</v>
      </c>
      <c r="BW5" s="4">
        <v>665445.5150049183</v>
      </c>
      <c r="BX5" s="4">
        <v>665454.3397030336</v>
      </c>
      <c r="BY5" s="4">
        <v>665461.9353785153</v>
      </c>
      <c r="BZ5" s="4">
        <v>665468.4731758409</v>
      </c>
      <c r="CA5" s="4">
        <v>665474.1004130148</v>
      </c>
      <c r="CB5" s="4">
        <v>665478.9438971434</v>
      </c>
      <c r="CC5" s="4">
        <v>665483.1127790241</v>
      </c>
      <c r="CD5" s="4">
        <v>665486.701010737</v>
      </c>
      <c r="CE5" s="5"/>
      <c r="CF5" s="5"/>
      <c r="CG5" s="5"/>
    </row>
    <row r="6" spans="1:85">
      <c r="A6" t="s">
        <v>38</v>
      </c>
      <c r="B6" s="4">
        <v>45657.87861264261</v>
      </c>
      <c r="C6" s="4">
        <v>51793.04930716261</v>
      </c>
      <c r="D6" s="4">
        <v>58566.60662965015</v>
      </c>
      <c r="E6" s="4">
        <v>65995.33338763556</v>
      </c>
      <c r="F6" s="4">
        <v>74083.32342191346</v>
      </c>
      <c r="G6" s="4">
        <v>82819.37426567494</v>
      </c>
      <c r="H6" s="4">
        <v>92174.78015399443</v>
      </c>
      <c r="I6" s="4">
        <v>102101.8259657919</v>
      </c>
      <c r="J6" s="4">
        <v>112533.2766132063</v>
      </c>
      <c r="K6" s="4">
        <v>123383.1009673471</v>
      </c>
      <c r="L6" s="4">
        <v>134548.561193995</v>
      </c>
      <c r="M6" s="4">
        <v>145913.6461189095</v>
      </c>
      <c r="N6" s="4">
        <v>157353.6529713826</v>
      </c>
      <c r="O6" s="4">
        <v>168740.5575762055</v>
      </c>
      <c r="P6" s="4">
        <v>179948.6932037987</v>
      </c>
      <c r="Q6" s="4">
        <v>190860.2099290009</v>
      </c>
      <c r="R6" s="4">
        <v>201369.8208184493</v>
      </c>
      <c r="S6" s="4">
        <v>211388.450468315</v>
      </c>
      <c r="T6" s="4">
        <v>220845.5604583629</v>
      </c>
      <c r="U6" s="4">
        <v>229690.10130191</v>
      </c>
      <c r="V6" s="4">
        <v>237890.1983966286</v>
      </c>
      <c r="W6" s="4">
        <v>245431.7962248942</v>
      </c>
      <c r="X6" s="4">
        <v>252316.5495623701</v>
      </c>
      <c r="Y6" s="4">
        <v>258559.2643043904</v>
      </c>
      <c r="Z6" s="4">
        <v>264185.1642828541</v>
      </c>
      <c r="AA6" s="4">
        <v>269227.2088461097</v>
      </c>
      <c r="AB6" s="4">
        <v>273723.6235838007</v>
      </c>
      <c r="AC6" s="4">
        <v>277715.7450256656</v>
      </c>
      <c r="AD6" s="4">
        <v>281246.2269823594</v>
      </c>
      <c r="AE6" s="4">
        <v>284357.6150686281</v>
      </c>
      <c r="AF6" s="4">
        <v>287091.2674635988</v>
      </c>
      <c r="AG6" s="4">
        <v>289486.5827947013</v>
      </c>
      <c r="AH6" s="4">
        <v>291580.487908706</v>
      </c>
      <c r="AI6" s="4">
        <v>293407.1367210078</v>
      </c>
      <c r="AJ6" s="4">
        <v>294997.7740386602</v>
      </c>
      <c r="AK6" s="4">
        <v>296380.723391155</v>
      </c>
      <c r="AL6" s="4">
        <v>297581.4641150973</v>
      </c>
      <c r="AM6" s="4">
        <v>298622.7693049241</v>
      </c>
      <c r="AN6" s="4">
        <v>299524.8821992938</v>
      </c>
      <c r="AO6" s="4">
        <v>300305.713824927</v>
      </c>
      <c r="AP6" s="4">
        <v>300981.0491519712</v>
      </c>
      <c r="AQ6" s="4">
        <v>301564.7526282716</v>
      </c>
      <c r="AR6" s="4">
        <v>302068.9668207873</v>
      </c>
      <c r="AS6" s="4">
        <v>302504.3000988266</v>
      </c>
      <c r="AT6" s="4">
        <v>302880.00095314</v>
      </c>
      <c r="AU6" s="4">
        <v>303204.1177609036</v>
      </c>
      <c r="AV6" s="4">
        <v>303483.6436723434</v>
      </c>
      <c r="AW6" s="4">
        <v>303724.6468898767</v>
      </c>
      <c r="AX6" s="4">
        <v>303932.3870010491</v>
      </c>
      <c r="AY6" s="4">
        <v>304111.4182651766</v>
      </c>
      <c r="AZ6" s="4">
        <v>304265.680882147</v>
      </c>
      <c r="BA6" s="4">
        <v>304398.5813224472</v>
      </c>
      <c r="BB6" s="4">
        <v>304513.0627945401</v>
      </c>
      <c r="BC6" s="4">
        <v>304611.6668874276</v>
      </c>
      <c r="BD6" s="4">
        <v>304696.5873659094</v>
      </c>
      <c r="BE6" s="4">
        <v>304769.7170233154</v>
      </c>
      <c r="BF6" s="4">
        <v>304832.6884180929</v>
      </c>
      <c r="BG6" s="4">
        <v>304886.9092412267</v>
      </c>
      <c r="BH6" s="4">
        <v>304933.5929841492</v>
      </c>
      <c r="BI6" s="4">
        <v>304973.7855034815</v>
      </c>
      <c r="BJ6" s="4">
        <v>305008.3880107888</v>
      </c>
      <c r="BK6" s="4">
        <v>305038.1769530723</v>
      </c>
      <c r="BL6" s="4">
        <v>305063.8211931228</v>
      </c>
      <c r="BM6" s="4">
        <v>305085.8968480388</v>
      </c>
      <c r="BN6" s="4">
        <v>305104.9000988815</v>
      </c>
      <c r="BO6" s="4">
        <v>305121.2582442532</v>
      </c>
      <c r="BP6" s="4">
        <v>305135.3392351199</v>
      </c>
      <c r="BQ6" s="4">
        <v>305147.4598970222</v>
      </c>
      <c r="BR6" s="4">
        <v>305157.8930184981</v>
      </c>
      <c r="BS6" s="4">
        <v>305166.8734606732</v>
      </c>
      <c r="BT6" s="4">
        <v>305174.6034221536</v>
      </c>
      <c r="BU6" s="4">
        <v>305181.2569752462</v>
      </c>
      <c r="BV6" s="4">
        <v>305186.9839737923</v>
      </c>
      <c r="BW6" s="4">
        <v>305191.9134192443</v>
      </c>
      <c r="BX6" s="4">
        <v>305196.1563597819</v>
      </c>
      <c r="BY6" s="4">
        <v>305199.8083870173</v>
      </c>
      <c r="BZ6" s="4">
        <v>305202.9517859776</v>
      </c>
      <c r="CA6" s="4">
        <v>305205.6573863864</v>
      </c>
      <c r="CB6" s="4">
        <v>305207.986156652</v>
      </c>
      <c r="CC6" s="4">
        <v>305209.9905762523</v>
      </c>
      <c r="CD6" s="5"/>
      <c r="CE6" s="5"/>
      <c r="CF6" s="5"/>
      <c r="CG6" s="5"/>
    </row>
    <row r="7" spans="1:85">
      <c r="A7" t="s">
        <v>39</v>
      </c>
      <c r="B7" s="4">
        <v>52017.53696984442</v>
      </c>
      <c r="C7" s="4">
        <v>59184.235942924</v>
      </c>
      <c r="D7" s="4">
        <v>67146.74981540497</v>
      </c>
      <c r="E7" s="4">
        <v>75940.48426137638</v>
      </c>
      <c r="F7" s="4">
        <v>85588.03907582347</v>
      </c>
      <c r="G7" s="4">
        <v>96095.63548369284</v>
      </c>
      <c r="H7" s="4">
        <v>107449.6995447833</v>
      </c>
      <c r="I7" s="4">
        <v>119613.9494906487</v>
      </c>
      <c r="J7" s="4">
        <v>132527.3780228526</v>
      </c>
      <c r="K7" s="4">
        <v>146103.5154784074</v>
      </c>
      <c r="L7" s="4">
        <v>160231.2908051873</v>
      </c>
      <c r="M7" s="4">
        <v>174777.6693565316</v>
      </c>
      <c r="N7" s="4">
        <v>189592.0501821885</v>
      </c>
      <c r="O7" s="4">
        <v>204512.1786958838</v>
      </c>
      <c r="P7" s="4">
        <v>219371.1146464462</v>
      </c>
      <c r="Q7" s="4">
        <v>234004.6352442379</v>
      </c>
      <c r="R7" s="4">
        <v>248258.3851713664</v>
      </c>
      <c r="S7" s="4">
        <v>261994.1249746082</v>
      </c>
      <c r="T7" s="4">
        <v>275094.5676570606</v>
      </c>
      <c r="U7" s="4">
        <v>287466.4985508013</v>
      </c>
      <c r="V7" s="4">
        <v>299042.1018621961</v>
      </c>
      <c r="W7" s="4">
        <v>309778.6251876714</v>
      </c>
      <c r="X7" s="4">
        <v>319656.6686388384</v>
      </c>
      <c r="Y7" s="4">
        <v>328677.4727228472</v>
      </c>
      <c r="Z7" s="4">
        <v>336859.6001388355</v>
      </c>
      <c r="AA7" s="4">
        <v>344235.3745376841</v>
      </c>
      <c r="AB7" s="4">
        <v>350847.3731343975</v>
      </c>
      <c r="AC7" s="4">
        <v>356745.188979318</v>
      </c>
      <c r="AD7" s="4">
        <v>361982.5980880877</v>
      </c>
      <c r="AE7" s="4">
        <v>366615.1966169187</v>
      </c>
      <c r="AF7" s="4">
        <v>370698.5188236224</v>
      </c>
      <c r="AG7" s="4">
        <v>374286.6086287784</v>
      </c>
      <c r="AH7" s="4">
        <v>377430.9945475714</v>
      </c>
      <c r="AI7" s="4">
        <v>380180.0066726809</v>
      </c>
      <c r="AJ7" s="4">
        <v>382578.3719965036</v>
      </c>
      <c r="AK7" s="4">
        <v>384667.0276787557</v>
      </c>
      <c r="AL7" s="4">
        <v>386483.098459767</v>
      </c>
      <c r="AM7" s="4">
        <v>388059.9924863126</v>
      </c>
      <c r="AN7" s="4">
        <v>389427.5781303342</v>
      </c>
      <c r="AO7" s="4">
        <v>390612.4121881878</v>
      </c>
      <c r="AP7" s="4">
        <v>391637.9967478204</v>
      </c>
      <c r="AQ7" s="4">
        <v>392525.0478448929</v>
      </c>
      <c r="AR7" s="4">
        <v>393291.7637918051</v>
      </c>
      <c r="AS7" s="4">
        <v>393954.0848396952</v>
      </c>
      <c r="AT7" s="4">
        <v>394525.9387493869</v>
      </c>
      <c r="AU7" s="4">
        <v>395019.4690428685</v>
      </c>
      <c r="AV7" s="4">
        <v>395445.2443179411</v>
      </c>
      <c r="AW7" s="4">
        <v>395812.4481573773</v>
      </c>
      <c r="AX7" s="4">
        <v>396129.0499551082</v>
      </c>
      <c r="AY7" s="4">
        <v>396401.9575023443</v>
      </c>
      <c r="AZ7" s="4">
        <v>396637.1524960002</v>
      </c>
      <c r="BA7" s="4">
        <v>396839.810305344</v>
      </c>
      <c r="BB7" s="4">
        <v>397014.4054029107</v>
      </c>
      <c r="BC7" s="4">
        <v>397164.803864669</v>
      </c>
      <c r="BD7" s="4">
        <v>397294.344296262</v>
      </c>
      <c r="BE7" s="4">
        <v>397405.9084645453</v>
      </c>
      <c r="BF7" s="4">
        <v>397501.9828193218</v>
      </c>
      <c r="BG7" s="4">
        <v>397584.711988129</v>
      </c>
      <c r="BH7" s="4">
        <v>397655.9452233257</v>
      </c>
      <c r="BI7" s="4">
        <v>397717.2766796721</v>
      </c>
      <c r="BJ7" s="4">
        <v>397770.0803046859</v>
      </c>
      <c r="BK7" s="4">
        <v>397815.5400348061</v>
      </c>
      <c r="BL7" s="4">
        <v>397854.6759085645</v>
      </c>
      <c r="BM7" s="4">
        <v>397888.3666337784</v>
      </c>
      <c r="BN7" s="4">
        <v>397917.3690791307</v>
      </c>
      <c r="BO7" s="4">
        <v>397942.3351010436</v>
      </c>
      <c r="BP7" s="4">
        <v>397963.8260640279</v>
      </c>
      <c r="BQ7" s="4">
        <v>397982.3253661458</v>
      </c>
      <c r="BR7" s="4">
        <v>397998.2492403052</v>
      </c>
      <c r="BS7" s="4">
        <v>398011.9560662386</v>
      </c>
      <c r="BT7" s="4">
        <v>398023.7543966818</v>
      </c>
      <c r="BU7" s="4">
        <v>398033.9098739345</v>
      </c>
      <c r="BV7" s="4">
        <v>398042.651189198</v>
      </c>
      <c r="BW7" s="4">
        <v>398050.1752164206</v>
      </c>
      <c r="BX7" s="4">
        <v>398056.6514344442</v>
      </c>
      <c r="BY7" s="4">
        <v>398062.2257357047</v>
      </c>
      <c r="BZ7" s="4">
        <v>398067.0237062814</v>
      </c>
      <c r="CA7" s="4">
        <v>398071.153450447</v>
      </c>
      <c r="CB7" s="4">
        <v>398074.7080228073</v>
      </c>
      <c r="CC7" s="5"/>
      <c r="CD7" s="5"/>
      <c r="CE7" s="5"/>
      <c r="CF7" s="5"/>
      <c r="CG7" s="5"/>
    </row>
    <row r="8" spans="1:85">
      <c r="A8" t="s">
        <v>40</v>
      </c>
      <c r="B8" s="4">
        <v>53298.3399814635</v>
      </c>
      <c r="C8" s="4">
        <v>60534.71513147614</v>
      </c>
      <c r="D8" s="4">
        <v>68544.81283411152</v>
      </c>
      <c r="E8" s="4">
        <v>77354.82586790787</v>
      </c>
      <c r="F8" s="4">
        <v>86976.72586554605</v>
      </c>
      <c r="G8" s="4">
        <v>97404.94797244832</v>
      </c>
      <c r="H8" s="4">
        <v>108613.423500534</v>
      </c>
      <c r="I8" s="4">
        <v>120553.3190848462</v>
      </c>
      <c r="J8" s="4">
        <v>133151.854886981</v>
      </c>
      <c r="K8" s="4">
        <v>146312.5327369469</v>
      </c>
      <c r="L8" s="4">
        <v>159916.9986106409</v>
      </c>
      <c r="M8" s="4">
        <v>173828.5965947172</v>
      </c>
      <c r="N8" s="4">
        <v>187897.4639492454</v>
      </c>
      <c r="O8" s="4">
        <v>201966.8041878418</v>
      </c>
      <c r="P8" s="4">
        <v>215879.7998007732</v>
      </c>
      <c r="Q8" s="4">
        <v>229486.5269391601</v>
      </c>
      <c r="R8" s="4">
        <v>242650.2340697136</v>
      </c>
      <c r="S8" s="4">
        <v>255252.4453721163</v>
      </c>
      <c r="T8" s="4">
        <v>267196.52459509</v>
      </c>
      <c r="U8" s="4">
        <v>278409.5476828259</v>
      </c>
      <c r="V8" s="4">
        <v>288842.5401723168</v>
      </c>
      <c r="W8" s="4">
        <v>298469.3029262603</v>
      </c>
      <c r="X8" s="4">
        <v>307284.1566520449</v>
      </c>
      <c r="Y8" s="4">
        <v>315298.977681228</v>
      </c>
      <c r="Z8" s="4">
        <v>322539.8837357796</v>
      </c>
      <c r="AA8" s="4">
        <v>329043.8756069696</v>
      </c>
      <c r="AB8" s="4">
        <v>334855.6673841037</v>
      </c>
      <c r="AC8" s="4">
        <v>340024.8602084471</v>
      </c>
      <c r="AD8" s="4">
        <v>344603.5439420778</v>
      </c>
      <c r="AE8" s="4">
        <v>348644.3540310869</v>
      </c>
      <c r="AF8" s="4">
        <v>352198.9693553636</v>
      </c>
      <c r="AG8" s="4">
        <v>355317.0101937526</v>
      </c>
      <c r="AH8" s="4">
        <v>358045.281153561</v>
      </c>
      <c r="AI8" s="4">
        <v>360427.2989740452</v>
      </c>
      <c r="AJ8" s="4">
        <v>362503.0465548302</v>
      </c>
      <c r="AK8" s="4">
        <v>364308.8998743939</v>
      </c>
      <c r="AL8" s="4">
        <v>365877.6817289128</v>
      </c>
      <c r="AM8" s="4">
        <v>367238.8040892566</v>
      </c>
      <c r="AN8" s="4">
        <v>368418.4684812629</v>
      </c>
      <c r="AO8" s="4">
        <v>369439.9006529534</v>
      </c>
      <c r="AP8" s="4">
        <v>370323.6016786128</v>
      </c>
      <c r="AQ8" s="4">
        <v>371087.6025139813</v>
      </c>
      <c r="AR8" s="4">
        <v>371747.7129135823</v>
      </c>
      <c r="AS8" s="4">
        <v>372317.7586589561</v>
      </c>
      <c r="AT8" s="4">
        <v>372809.8033552857</v>
      </c>
      <c r="AU8" s="4">
        <v>373234.3527645078</v>
      </c>
      <c r="AV8" s="4">
        <v>373600.5408762892</v>
      </c>
      <c r="AW8" s="4">
        <v>373916.2977794312</v>
      </c>
      <c r="AX8" s="4">
        <v>374188.4999734891</v>
      </c>
      <c r="AY8" s="4">
        <v>374423.1041252949</v>
      </c>
      <c r="AZ8" s="4">
        <v>374625.2654845426</v>
      </c>
      <c r="BA8" s="4">
        <v>374799.4422708244</v>
      </c>
      <c r="BB8" s="4">
        <v>374949.4873653027</v>
      </c>
      <c r="BC8" s="4">
        <v>375078.7286089097</v>
      </c>
      <c r="BD8" s="4">
        <v>375190.0389443375</v>
      </c>
      <c r="BE8" s="4">
        <v>375285.8975546947</v>
      </c>
      <c r="BF8" s="4">
        <v>375368.4430572446</v>
      </c>
      <c r="BG8" s="4">
        <v>375439.5197128183</v>
      </c>
      <c r="BH8" s="4">
        <v>375500.7175148396</v>
      </c>
      <c r="BI8" s="4">
        <v>375553.4069293346</v>
      </c>
      <c r="BJ8" s="4">
        <v>375598.7689705932</v>
      </c>
      <c r="BK8" s="4">
        <v>375637.8212172518</v>
      </c>
      <c r="BL8" s="4">
        <v>375671.4403008531</v>
      </c>
      <c r="BM8" s="4">
        <v>375700.3813334131</v>
      </c>
      <c r="BN8" s="4">
        <v>375725.2946819249</v>
      </c>
      <c r="BO8" s="4">
        <v>375746.740445657</v>
      </c>
      <c r="BP8" s="4">
        <v>375765.2009460669</v>
      </c>
      <c r="BQ8" s="4">
        <v>375781.0914986121</v>
      </c>
      <c r="BR8" s="4">
        <v>375794.7697001829</v>
      </c>
      <c r="BS8" s="4">
        <v>375806.543434768</v>
      </c>
      <c r="BT8" s="4">
        <v>375816.6777728146</v>
      </c>
      <c r="BU8" s="4">
        <v>375825.400916101</v>
      </c>
      <c r="BV8" s="4">
        <v>375832.9093193815</v>
      </c>
      <c r="BW8" s="4">
        <v>375839.3721022182</v>
      </c>
      <c r="BX8" s="4">
        <v>375844.9348489412</v>
      </c>
      <c r="BY8" s="4">
        <v>375849.7228812774</v>
      </c>
      <c r="BZ8" s="4">
        <v>375853.8440765893</v>
      </c>
      <c r="CA8" s="4">
        <v>375857.3912946385</v>
      </c>
      <c r="CB8" s="5"/>
      <c r="CC8" s="5"/>
      <c r="CD8" s="5"/>
      <c r="CE8" s="5"/>
      <c r="CF8" s="5"/>
      <c r="CG8" s="5"/>
    </row>
    <row r="9" spans="1:85">
      <c r="A9" t="s">
        <v>41</v>
      </c>
      <c r="B9" s="4">
        <v>26669.23804424486</v>
      </c>
      <c r="C9" s="4">
        <v>30319.14377089481</v>
      </c>
      <c r="D9" s="4">
        <v>34367.45866294284</v>
      </c>
      <c r="E9" s="4">
        <v>38829.98049430517</v>
      </c>
      <c r="F9" s="4">
        <v>43715.67048240822</v>
      </c>
      <c r="G9" s="4">
        <v>49024.89695297785</v>
      </c>
      <c r="H9" s="4">
        <v>54747.80321686783</v>
      </c>
      <c r="I9" s="4">
        <v>60862.97948288301</v>
      </c>
      <c r="J9" s="4">
        <v>67336.63391288124</v>
      </c>
      <c r="K9" s="4">
        <v>74122.44676961705</v>
      </c>
      <c r="L9" s="4">
        <v>81162.24753435489</v>
      </c>
      <c r="M9" s="4">
        <v>88387.57740809843</v>
      </c>
      <c r="N9" s="4">
        <v>95722.0965180003</v>
      </c>
      <c r="O9" s="4">
        <v>103084.6824926111</v>
      </c>
      <c r="P9" s="4">
        <v>110392.9663680854</v>
      </c>
      <c r="Q9" s="4">
        <v>117566.984630842</v>
      </c>
      <c r="R9" s="4">
        <v>124532.6079498846</v>
      </c>
      <c r="S9" s="4">
        <v>131224.4420950493</v>
      </c>
      <c r="T9" s="4">
        <v>137587.9765031105</v>
      </c>
      <c r="U9" s="4">
        <v>143580.8629475799</v>
      </c>
      <c r="V9" s="4">
        <v>149173.3185369658</v>
      </c>
      <c r="W9" s="4">
        <v>154347.7435462764</v>
      </c>
      <c r="X9" s="4">
        <v>159097.7118027566</v>
      </c>
      <c r="Y9" s="4">
        <v>163426.5245033708</v>
      </c>
      <c r="Z9" s="4">
        <v>167345.5201411233</v>
      </c>
      <c r="AA9" s="4">
        <v>170872.3114110565</v>
      </c>
      <c r="AB9" s="4">
        <v>174029.0842333454</v>
      </c>
      <c r="AC9" s="4">
        <v>176841.0534087973</v>
      </c>
      <c r="AD9" s="4">
        <v>179335.1307819095</v>
      </c>
      <c r="AE9" s="4">
        <v>181538.8293393584</v>
      </c>
      <c r="AF9" s="4">
        <v>183479.4022196223</v>
      </c>
      <c r="AG9" s="4">
        <v>185183.1991737008</v>
      </c>
      <c r="AH9" s="4">
        <v>186675.2135421131</v>
      </c>
      <c r="AI9" s="4">
        <v>187978.7887660183</v>
      </c>
      <c r="AJ9" s="4">
        <v>189115.4532396996</v>
      </c>
      <c r="AK9" s="4">
        <v>190104.8545344875</v>
      </c>
      <c r="AL9" s="4">
        <v>190964.7675705196</v>
      </c>
      <c r="AM9" s="4">
        <v>191711.1553804308</v>
      </c>
      <c r="AN9" s="4">
        <v>192358.2651679814</v>
      </c>
      <c r="AO9" s="4">
        <v>192918.7461001299</v>
      </c>
      <c r="AP9" s="4">
        <v>193403.778525466</v>
      </c>
      <c r="AQ9" s="4">
        <v>193823.2070333149</v>
      </c>
      <c r="AR9" s="4">
        <v>194185.6719696534</v>
      </c>
      <c r="AS9" s="4">
        <v>194498.7357577869</v>
      </c>
      <c r="AT9" s="4">
        <v>194769.0016990971</v>
      </c>
      <c r="AU9" s="4">
        <v>195002.2239212523</v>
      </c>
      <c r="AV9" s="4">
        <v>195203.4078634014</v>
      </c>
      <c r="AW9" s="4">
        <v>195376.9011979636</v>
      </c>
      <c r="AX9" s="4">
        <v>195526.4754357613</v>
      </c>
      <c r="AY9" s="4">
        <v>195655.3986857053</v>
      </c>
      <c r="AZ9" s="4">
        <v>195766.5001742218</v>
      </c>
      <c r="BA9" s="4">
        <v>195862.2271983409</v>
      </c>
      <c r="BB9" s="4">
        <v>195944.6952092015</v>
      </c>
      <c r="BC9" s="4">
        <v>196015.7317143021</v>
      </c>
      <c r="BD9" s="4">
        <v>196076.9146580117</v>
      </c>
      <c r="BE9" s="4">
        <v>196129.6058985766</v>
      </c>
      <c r="BF9" s="4">
        <v>196174.9803518037</v>
      </c>
      <c r="BG9" s="4">
        <v>196214.0513207507</v>
      </c>
      <c r="BH9" s="4">
        <v>196247.6924798236</v>
      </c>
      <c r="BI9" s="4">
        <v>196276.6569324541</v>
      </c>
      <c r="BJ9" s="4">
        <v>196301.5937151022</v>
      </c>
      <c r="BK9" s="4">
        <v>196323.0620773393</v>
      </c>
      <c r="BL9" s="4">
        <v>196341.5438284865</v>
      </c>
      <c r="BM9" s="4">
        <v>196357.4540057783</v>
      </c>
      <c r="BN9" s="4">
        <v>196371.1500871946</v>
      </c>
      <c r="BO9" s="4">
        <v>196382.9399437646</v>
      </c>
      <c r="BP9" s="4">
        <v>196393.0887010494</v>
      </c>
      <c r="BQ9" s="4">
        <v>196401.8246573875</v>
      </c>
      <c r="BR9" s="4">
        <v>196409.3443870548</v>
      </c>
      <c r="BS9" s="4">
        <v>196415.8171394728</v>
      </c>
      <c r="BT9" s="4">
        <v>196421.3886307434</v>
      </c>
      <c r="BU9" s="4">
        <v>196426.1843108316</v>
      </c>
      <c r="BV9" s="4">
        <v>196430.312178459</v>
      </c>
      <c r="BW9" s="4">
        <v>196433.8652059808</v>
      </c>
      <c r="BX9" s="4">
        <v>196436.9234280364</v>
      </c>
      <c r="BY9" s="4">
        <v>196439.5557404072</v>
      </c>
      <c r="BZ9" s="4">
        <v>196441.8214491536</v>
      </c>
      <c r="CA9" s="5"/>
      <c r="CB9" s="5"/>
      <c r="CC9" s="5"/>
      <c r="CD9" s="5"/>
      <c r="CE9" s="5"/>
      <c r="CF9" s="5"/>
      <c r="CG9" s="5"/>
    </row>
    <row r="10" spans="1:85">
      <c r="A10" t="s">
        <v>42</v>
      </c>
      <c r="B10" s="4">
        <v>24635.96172116926</v>
      </c>
      <c r="C10" s="4">
        <v>28032.90567330808</v>
      </c>
      <c r="D10" s="4">
        <v>31807.83473331803</v>
      </c>
      <c r="E10" s="4">
        <v>35977.78558040333</v>
      </c>
      <c r="F10" s="4">
        <v>40553.76232689266</v>
      </c>
      <c r="G10" s="4">
        <v>45539.03646263616</v>
      </c>
      <c r="H10" s="4">
        <v>50927.51567853092</v>
      </c>
      <c r="I10" s="4">
        <v>56702.34603011989</v>
      </c>
      <c r="J10" s="4">
        <v>62834.93311547535</v>
      </c>
      <c r="K10" s="4">
        <v>69284.5664842829</v>
      </c>
      <c r="L10" s="4">
        <v>75998.79985892946</v>
      </c>
      <c r="M10" s="4">
        <v>82914.67526240223</v>
      </c>
      <c r="N10" s="4">
        <v>89960.78654455299</v>
      </c>
      <c r="O10" s="4">
        <v>97060.0700865914</v>
      </c>
      <c r="P10" s="4">
        <v>104133.1071358479</v>
      </c>
      <c r="Q10" s="4">
        <v>111101.6447466989</v>
      </c>
      <c r="R10" s="4">
        <v>117892.0081029988</v>
      </c>
      <c r="S10" s="4">
        <v>124438.0940697151</v>
      </c>
      <c r="T10" s="4">
        <v>130683.700152658</v>
      </c>
      <c r="U10" s="4">
        <v>136584.0399152556</v>
      </c>
      <c r="V10" s="4">
        <v>142106.4045246471</v>
      </c>
      <c r="W10" s="4">
        <v>147230.0296928644</v>
      </c>
      <c r="X10" s="4">
        <v>151945.3022801777</v>
      </c>
      <c r="Y10" s="4">
        <v>156252.4836670102</v>
      </c>
      <c r="Z10" s="4">
        <v>160160.1380601303</v>
      </c>
      <c r="AA10" s="4">
        <v>163683.4393812178</v>
      </c>
      <c r="AB10" s="4">
        <v>166842.4993256413</v>
      </c>
      <c r="AC10" s="4">
        <v>169660.8207111039</v>
      </c>
      <c r="AD10" s="4">
        <v>172163.9417715844</v>
      </c>
      <c r="AE10" s="4">
        <v>174378.3034991799</v>
      </c>
      <c r="AF10" s="4">
        <v>176330.3459429853</v>
      </c>
      <c r="AG10" s="4">
        <v>178045.8210509105</v>
      </c>
      <c r="AH10" s="4">
        <v>179549.2984409772</v>
      </c>
      <c r="AI10" s="4">
        <v>180863.8350327785</v>
      </c>
      <c r="AJ10" s="4">
        <v>182010.7782079089</v>
      </c>
      <c r="AK10" s="4">
        <v>183009.6736706265</v>
      </c>
      <c r="AL10" s="4">
        <v>183878.2522782349</v>
      </c>
      <c r="AM10" s="4">
        <v>184632.4739354694</v>
      </c>
      <c r="AN10" s="4">
        <v>185286.6106063237</v>
      </c>
      <c r="AO10" s="4">
        <v>185853.3542247201</v>
      </c>
      <c r="AP10" s="4">
        <v>186343.9385861644</v>
      </c>
      <c r="AQ10" s="4">
        <v>186768.2670971671</v>
      </c>
      <c r="AR10" s="4">
        <v>187135.0405435612</v>
      </c>
      <c r="AS10" s="4">
        <v>187451.8808517105</v>
      </c>
      <c r="AT10" s="4">
        <v>187725.4482177875</v>
      </c>
      <c r="AU10" s="4">
        <v>187961.5500363125</v>
      </c>
      <c r="AV10" s="4">
        <v>188165.2408347732</v>
      </c>
      <c r="AW10" s="4">
        <v>188340.91297478</v>
      </c>
      <c r="AX10" s="4">
        <v>188492.378262081</v>
      </c>
      <c r="AY10" s="4">
        <v>188622.9408594214</v>
      </c>
      <c r="AZ10" s="4">
        <v>188735.4620512072</v>
      </c>
      <c r="BA10" s="4">
        <v>188832.417493648</v>
      </c>
      <c r="BB10" s="4">
        <v>188915.9476189054</v>
      </c>
      <c r="BC10" s="4">
        <v>188987.9018622736</v>
      </c>
      <c r="BD10" s="4">
        <v>189049.8773591518</v>
      </c>
      <c r="BE10" s="4">
        <v>189103.2527220294</v>
      </c>
      <c r="BF10" s="4">
        <v>189149.217463026</v>
      </c>
      <c r="BG10" s="4">
        <v>189188.7975790428</v>
      </c>
      <c r="BH10" s="4">
        <v>189222.877767274</v>
      </c>
      <c r="BI10" s="4">
        <v>189252.2206906638</v>
      </c>
      <c r="BJ10" s="4">
        <v>189277.4836671585</v>
      </c>
      <c r="BK10" s="4">
        <v>189299.2331140061</v>
      </c>
      <c r="BL10" s="4">
        <v>189317.9570392882</v>
      </c>
      <c r="BM10" s="4">
        <v>189334.0758374347</v>
      </c>
      <c r="BN10" s="4">
        <v>189347.9516136289</v>
      </c>
      <c r="BO10" s="4">
        <v>189359.8962336013</v>
      </c>
      <c r="BP10" s="4">
        <v>189370.1782701047</v>
      </c>
      <c r="BQ10" s="4">
        <v>189379.0289951164</v>
      </c>
      <c r="BR10" s="4">
        <v>189386.647547249</v>
      </c>
      <c r="BS10" s="4">
        <v>189393.2053867034</v>
      </c>
      <c r="BT10" s="4">
        <v>189398.8501351097</v>
      </c>
      <c r="BU10" s="4">
        <v>189403.7088845329</v>
      </c>
      <c r="BV10" s="4">
        <v>189407.891048542</v>
      </c>
      <c r="BW10" s="4">
        <v>189411.4908183592</v>
      </c>
      <c r="BX10" s="4">
        <v>189414.5892785244</v>
      </c>
      <c r="BY10" s="4">
        <v>189417.2562290788</v>
      </c>
      <c r="BZ10" s="5"/>
      <c r="CA10" s="5"/>
      <c r="CB10" s="5"/>
      <c r="CC10" s="5"/>
      <c r="CD10" s="5"/>
      <c r="CE10" s="5"/>
      <c r="CF10" s="5"/>
      <c r="CG10" s="5"/>
    </row>
    <row r="11" spans="1:85">
      <c r="A11" t="s">
        <v>43</v>
      </c>
      <c r="B11" s="4">
        <v>57660.95789144165</v>
      </c>
      <c r="C11" s="4">
        <v>65416.81489380381</v>
      </c>
      <c r="D11" s="4">
        <v>73981.8457150485</v>
      </c>
      <c r="E11" s="4">
        <v>83377.91946759734</v>
      </c>
      <c r="F11" s="4">
        <v>93610.93585932742</v>
      </c>
      <c r="G11" s="4">
        <v>104667.5029885979</v>
      </c>
      <c r="H11" s="4">
        <v>116512.1087559247</v>
      </c>
      <c r="I11" s="4">
        <v>129085.1666188436</v>
      </c>
      <c r="J11" s="4">
        <v>142302.3109420269</v>
      </c>
      <c r="K11" s="4">
        <v>156055.2494967166</v>
      </c>
      <c r="L11" s="4">
        <v>170214.3458632908</v>
      </c>
      <c r="M11" s="4">
        <v>184632.9130245737</v>
      </c>
      <c r="N11" s="4">
        <v>199152.9786291747</v>
      </c>
      <c r="O11" s="4">
        <v>213612.0725332488</v>
      </c>
      <c r="P11" s="4">
        <v>227850.4321007803</v>
      </c>
      <c r="Q11" s="4">
        <v>241717.9553328089</v>
      </c>
      <c r="R11" s="4">
        <v>255080.2715144622</v>
      </c>
      <c r="S11" s="4">
        <v>267823.434404827</v>
      </c>
      <c r="T11" s="4">
        <v>279856.9431445374</v>
      </c>
      <c r="U11" s="4">
        <v>291115.0182407711</v>
      </c>
      <c r="V11" s="4">
        <v>301556.2619845388</v>
      </c>
      <c r="W11" s="4">
        <v>311161.9832904047</v>
      </c>
      <c r="X11" s="4">
        <v>319933.5515151545</v>
      </c>
      <c r="Y11" s="4">
        <v>327889.1637415658</v>
      </c>
      <c r="Z11" s="4">
        <v>335060.3783871243</v>
      </c>
      <c r="AA11" s="4">
        <v>341488.7034098211</v>
      </c>
      <c r="AB11" s="4">
        <v>347222.4484212279</v>
      </c>
      <c r="AC11" s="4">
        <v>352313.9716283864</v>
      </c>
      <c r="AD11" s="4">
        <v>356817.3845091533</v>
      </c>
      <c r="AE11" s="4">
        <v>360786.7242814693</v>
      </c>
      <c r="AF11" s="4">
        <v>364274.567454699</v>
      </c>
      <c r="AG11" s="4">
        <v>367331.0354407259</v>
      </c>
      <c r="AH11" s="4">
        <v>370003.1324976024</v>
      </c>
      <c r="AI11" s="4">
        <v>372334.35401122</v>
      </c>
      <c r="AJ11" s="4">
        <v>374364.506386508</v>
      </c>
      <c r="AK11" s="4">
        <v>376129.6862563192</v>
      </c>
      <c r="AL11" s="4">
        <v>377662.3745728185</v>
      </c>
      <c r="AM11" s="4">
        <v>378991.6092349649</v>
      </c>
      <c r="AN11" s="4">
        <v>380143.207497069</v>
      </c>
      <c r="AO11" s="4">
        <v>381140.0161093989</v>
      </c>
      <c r="AP11" s="4">
        <v>382002.172809659</v>
      </c>
      <c r="AQ11" s="4">
        <v>382747.3674104929</v>
      </c>
      <c r="AR11" s="4">
        <v>383391.094395078</v>
      </c>
      <c r="AS11" s="4">
        <v>383946.8917638335</v>
      </c>
      <c r="AT11" s="4">
        <v>384426.5630064342</v>
      </c>
      <c r="AU11" s="4">
        <v>384840.3806367293</v>
      </c>
      <c r="AV11" s="4">
        <v>385197.2708425926</v>
      </c>
      <c r="AW11" s="4">
        <v>385504.9795700331</v>
      </c>
      <c r="AX11" s="4">
        <v>385770.2208653411</v>
      </c>
      <c r="AY11" s="4">
        <v>385998.8086084855</v>
      </c>
      <c r="AZ11" s="4">
        <v>386195.7729388236</v>
      </c>
      <c r="BA11" s="4">
        <v>386365.462741701</v>
      </c>
      <c r="BB11" s="4">
        <v>386511.6355629957</v>
      </c>
      <c r="BC11" s="4">
        <v>386637.5362714729</v>
      </c>
      <c r="BD11" s="4">
        <v>386745.9657131112</v>
      </c>
      <c r="BE11" s="4">
        <v>386839.3405096636</v>
      </c>
      <c r="BF11" s="4">
        <v>386919.7450543777</v>
      </c>
      <c r="BG11" s="4">
        <v>386988.9766569805</v>
      </c>
      <c r="BH11" s="4">
        <v>387048.5846917151</v>
      </c>
      <c r="BI11" s="4">
        <v>387099.9045089438</v>
      </c>
      <c r="BJ11" s="4">
        <v>387144.0867840234</v>
      </c>
      <c r="BK11" s="4">
        <v>387182.1228975957</v>
      </c>
      <c r="BL11" s="4">
        <v>387214.8668693015</v>
      </c>
      <c r="BM11" s="4">
        <v>387243.0543021272</v>
      </c>
      <c r="BN11" s="4">
        <v>387267.3187367941</v>
      </c>
      <c r="BO11" s="4">
        <v>387288.2057643408</v>
      </c>
      <c r="BP11" s="4">
        <v>387306.1851998037</v>
      </c>
      <c r="BQ11" s="4">
        <v>387321.6615801268</v>
      </c>
      <c r="BR11" s="4">
        <v>387334.9832145689</v>
      </c>
      <c r="BS11" s="4">
        <v>387346.4499854132</v>
      </c>
      <c r="BT11" s="4">
        <v>387356.3200702194</v>
      </c>
      <c r="BU11" s="4">
        <v>387364.8157337367</v>
      </c>
      <c r="BV11" s="4">
        <v>387372.1283175098</v>
      </c>
      <c r="BW11" s="4">
        <v>387378.4225377783</v>
      </c>
      <c r="BX11" s="4">
        <v>387383.8401871618</v>
      </c>
      <c r="BY11" s="5"/>
      <c r="BZ11" s="5"/>
      <c r="CA11" s="5"/>
      <c r="CB11" s="5"/>
      <c r="CC11" s="5"/>
      <c r="CD11" s="5"/>
      <c r="CE11" s="5"/>
      <c r="CF11" s="5"/>
      <c r="CG11" s="5"/>
    </row>
    <row r="12" spans="1:85">
      <c r="A12" t="s">
        <v>44</v>
      </c>
      <c r="B12" s="4">
        <v>40897.13037408854</v>
      </c>
      <c r="C12" s="4">
        <v>46546.99214741369</v>
      </c>
      <c r="D12" s="4">
        <v>52828.58514902783</v>
      </c>
      <c r="E12" s="4">
        <v>59771.25248134875</v>
      </c>
      <c r="F12" s="4">
        <v>67394.45326334328</v>
      </c>
      <c r="G12" s="4">
        <v>75704.90966378032</v>
      </c>
      <c r="H12" s="4">
        <v>84693.84829166411</v>
      </c>
      <c r="I12" s="4">
        <v>94334.60770707596</v>
      </c>
      <c r="J12" s="4">
        <v>104580.9219841742</v>
      </c>
      <c r="K12" s="4">
        <v>115366.1916648708</v>
      </c>
      <c r="L12" s="4">
        <v>126604.0050220123</v>
      </c>
      <c r="M12" s="4">
        <v>138190.0689263822</v>
      </c>
      <c r="N12" s="4">
        <v>150005.5565445727</v>
      </c>
      <c r="O12" s="4">
        <v>161921.699275705</v>
      </c>
      <c r="P12" s="4">
        <v>173805.2747915043</v>
      </c>
      <c r="Q12" s="4">
        <v>185524.5079151824</v>
      </c>
      <c r="R12" s="4">
        <v>196954.8365954197</v>
      </c>
      <c r="S12" s="4">
        <v>207984.0164500104</v>
      </c>
      <c r="T12" s="4">
        <v>218516.1392766169</v>
      </c>
      <c r="U12" s="4">
        <v>228474.3001476648</v>
      </c>
      <c r="V12" s="4">
        <v>237801.8298103746</v>
      </c>
      <c r="W12" s="4">
        <v>246462.1788205654</v>
      </c>
      <c r="X12" s="4">
        <v>254437.6700158844</v>
      </c>
      <c r="Y12" s="4">
        <v>261727.4126554051</v>
      </c>
      <c r="Z12" s="4">
        <v>268344.6944130146</v>
      </c>
      <c r="AA12" s="4">
        <v>274314.1461752742</v>
      </c>
      <c r="AB12" s="4">
        <v>279668.9242147887</v>
      </c>
      <c r="AC12" s="4">
        <v>284448.0902548202</v>
      </c>
      <c r="AD12" s="4">
        <v>288694.3049778283</v>
      </c>
      <c r="AE12" s="4">
        <v>292451.8932739643</v>
      </c>
      <c r="AF12" s="4">
        <v>295765.2944136508</v>
      </c>
      <c r="AG12" s="4">
        <v>298677.878454931</v>
      </c>
      <c r="AH12" s="4">
        <v>301231.090445978</v>
      </c>
      <c r="AI12" s="4">
        <v>303463.8740952025</v>
      </c>
      <c r="AJ12" s="4">
        <v>305412.3239557873</v>
      </c>
      <c r="AK12" s="4">
        <v>307109.5173782705</v>
      </c>
      <c r="AL12" s="4">
        <v>308585.4825199585</v>
      </c>
      <c r="AM12" s="4">
        <v>309867.2650613573</v>
      </c>
      <c r="AN12" s="4">
        <v>310979.062936103</v>
      </c>
      <c r="AO12" s="4">
        <v>311942.4046893781</v>
      </c>
      <c r="AP12" s="4">
        <v>312776.3526905148</v>
      </c>
      <c r="AQ12" s="4">
        <v>313497.7171921144</v>
      </c>
      <c r="AR12" s="4">
        <v>314121.2711350796</v>
      </c>
      <c r="AS12" s="4">
        <v>314659.9587070337</v>
      </c>
      <c r="AT12" s="4">
        <v>315125.0930691682</v>
      </c>
      <c r="AU12" s="4">
        <v>315526.5404849979</v>
      </c>
      <c r="AV12" s="4">
        <v>315872.889423161</v>
      </c>
      <c r="AW12" s="4">
        <v>316171.6041644795</v>
      </c>
      <c r="AX12" s="4">
        <v>316429.1631064772</v>
      </c>
      <c r="AY12" s="4">
        <v>316651.182397494</v>
      </c>
      <c r="AZ12" s="4">
        <v>316842.5258048041</v>
      </c>
      <c r="BA12" s="4">
        <v>317007.4018720423</v>
      </c>
      <c r="BB12" s="4">
        <v>317149.4494858449</v>
      </c>
      <c r="BC12" s="4">
        <v>317271.8129765664</v>
      </c>
      <c r="BD12" s="4">
        <v>317377.2078432238</v>
      </c>
      <c r="BE12" s="4">
        <v>317467.9781330761</v>
      </c>
      <c r="BF12" s="4">
        <v>317546.1464321038</v>
      </c>
      <c r="BG12" s="4">
        <v>317613.457341572</v>
      </c>
      <c r="BH12" s="4">
        <v>317671.4152330484</v>
      </c>
      <c r="BI12" s="4">
        <v>317721.3169931285</v>
      </c>
      <c r="BJ12" s="4">
        <v>317764.2803919241</v>
      </c>
      <c r="BK12" s="4">
        <v>317801.2686373715</v>
      </c>
      <c r="BL12" s="4">
        <v>317833.1116113049</v>
      </c>
      <c r="BM12" s="4">
        <v>317860.5242232239</v>
      </c>
      <c r="BN12" s="4">
        <v>317884.122263719</v>
      </c>
      <c r="BO12" s="4">
        <v>317904.4360913328</v>
      </c>
      <c r="BP12" s="4">
        <v>317921.9224438784</v>
      </c>
      <c r="BQ12" s="4">
        <v>317936.9746274746</v>
      </c>
      <c r="BR12" s="4">
        <v>317949.9313033384</v>
      </c>
      <c r="BS12" s="4">
        <v>317961.0840632618</v>
      </c>
      <c r="BT12" s="4">
        <v>317970.6839592332</v>
      </c>
      <c r="BU12" s="4">
        <v>317978.9471304678</v>
      </c>
      <c r="BV12" s="4">
        <v>317986.0596517743</v>
      </c>
      <c r="BW12" s="4">
        <v>317992.1817103905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>
      <c r="A13" t="s">
        <v>45</v>
      </c>
      <c r="B13" s="4">
        <v>43275.3023715133</v>
      </c>
      <c r="C13" s="4">
        <v>49203.17143635597</v>
      </c>
      <c r="D13" s="4">
        <v>55779.593264539</v>
      </c>
      <c r="E13" s="4">
        <v>63030.7042583708</v>
      </c>
      <c r="F13" s="4">
        <v>70971.60287533839</v>
      </c>
      <c r="G13" s="4">
        <v>79603.48276360659</v>
      </c>
      <c r="H13" s="4">
        <v>88910.95806739367</v>
      </c>
      <c r="I13" s="4">
        <v>98859.87253757828</v>
      </c>
      <c r="J13" s="4">
        <v>109395.9103780531</v>
      </c>
      <c r="K13" s="4">
        <v>120444.3104739763</v>
      </c>
      <c r="L13" s="4">
        <v>131910.9159381931</v>
      </c>
      <c r="M13" s="4">
        <v>143684.6665447733</v>
      </c>
      <c r="N13" s="4">
        <v>155641.4747008898</v>
      </c>
      <c r="O13" s="4">
        <v>167649.2418683223</v>
      </c>
      <c r="P13" s="4">
        <v>179573.606680824</v>
      </c>
      <c r="Q13" s="4">
        <v>191283.903809084</v>
      </c>
      <c r="R13" s="4">
        <v>202658.7795159482</v>
      </c>
      <c r="S13" s="4">
        <v>213590.9636012482</v>
      </c>
      <c r="T13" s="4">
        <v>223990.8254749486</v>
      </c>
      <c r="U13" s="4">
        <v>233788.5155445433</v>
      </c>
      <c r="V13" s="4">
        <v>242934.6757403791</v>
      </c>
      <c r="W13" s="4">
        <v>251399.8614909509</v>
      </c>
      <c r="X13" s="4">
        <v>259172.9291504729</v>
      </c>
      <c r="Y13" s="4">
        <v>266258.6990867126</v>
      </c>
      <c r="Z13" s="4">
        <v>272675.2093493026</v>
      </c>
      <c r="AA13" s="4">
        <v>278450.8404759213</v>
      </c>
      <c r="AB13" s="4">
        <v>283621.5343058542</v>
      </c>
      <c r="AC13" s="4">
        <v>288228.2634959079</v>
      </c>
      <c r="AD13" s="4">
        <v>292314.8451384449</v>
      </c>
      <c r="AE13" s="4">
        <v>295926.1384985048</v>
      </c>
      <c r="AF13" s="4">
        <v>299106.6264906187</v>
      </c>
      <c r="AG13" s="4">
        <v>301899.3532312589</v>
      </c>
      <c r="AH13" s="4">
        <v>304345.1741566599</v>
      </c>
      <c r="AI13" s="4">
        <v>306482.2683024997</v>
      </c>
      <c r="AJ13" s="4">
        <v>308345.8618020017</v>
      </c>
      <c r="AK13" s="4">
        <v>309968.1151676515</v>
      </c>
      <c r="AL13" s="4">
        <v>311378.1326491434</v>
      </c>
      <c r="AM13" s="4">
        <v>312602.0585796367</v>
      </c>
      <c r="AN13" s="4">
        <v>313663.2322537779</v>
      </c>
      <c r="AO13" s="4">
        <v>314582.3789993752</v>
      </c>
      <c r="AP13" s="4">
        <v>315377.8204447222</v>
      </c>
      <c r="AQ13" s="4">
        <v>316065.6914553473</v>
      </c>
      <c r="AR13" s="4">
        <v>316660.1548362509</v>
      </c>
      <c r="AS13" s="4">
        <v>317173.6077476595</v>
      </c>
      <c r="AT13" s="4">
        <v>317616.8759703999</v>
      </c>
      <c r="AU13" s="4">
        <v>317999.3937939724</v>
      </c>
      <c r="AV13" s="4">
        <v>318329.3684932309</v>
      </c>
      <c r="AW13" s="4">
        <v>318613.929203224</v>
      </c>
      <c r="AX13" s="4">
        <v>318859.2605768205</v>
      </c>
      <c r="AY13" s="4">
        <v>319070.7219824694</v>
      </c>
      <c r="AZ13" s="4">
        <v>319252.9532228201</v>
      </c>
      <c r="BA13" s="4">
        <v>319409.9678704771</v>
      </c>
      <c r="BB13" s="4">
        <v>319545.2353568061</v>
      </c>
      <c r="BC13" s="4">
        <v>319661.7529375842</v>
      </c>
      <c r="BD13" s="4">
        <v>319762.108613298</v>
      </c>
      <c r="BE13" s="4">
        <v>319848.5360151789</v>
      </c>
      <c r="BF13" s="4">
        <v>319922.9621899822</v>
      </c>
      <c r="BG13" s="4">
        <v>319987.0491336706</v>
      </c>
      <c r="BH13" s="4">
        <v>320042.2298410532</v>
      </c>
      <c r="BI13" s="4">
        <v>320089.7395579959</v>
      </c>
      <c r="BJ13" s="4">
        <v>320130.6428469103</v>
      </c>
      <c r="BK13" s="4">
        <v>320165.857005889</v>
      </c>
      <c r="BL13" s="4">
        <v>320196.1723175589</v>
      </c>
      <c r="BM13" s="4">
        <v>320222.2695455868</v>
      </c>
      <c r="BN13" s="4">
        <v>320244.7350446384</v>
      </c>
      <c r="BO13" s="4">
        <v>320264.073803166</v>
      </c>
      <c r="BP13" s="4">
        <v>320280.7206972733</v>
      </c>
      <c r="BQ13" s="4">
        <v>320295.0501976496</v>
      </c>
      <c r="BR13" s="4">
        <v>320307.3847397128</v>
      </c>
      <c r="BS13" s="4">
        <v>320318.0019392061</v>
      </c>
      <c r="BT13" s="4">
        <v>320327.1408111343</v>
      </c>
      <c r="BU13" s="4">
        <v>320335.007128687</v>
      </c>
      <c r="BV13" s="4">
        <v>320341.7780403297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>
      <c r="A14" t="s">
        <v>46</v>
      </c>
      <c r="B14" s="4">
        <v>101359.1770187399</v>
      </c>
      <c r="C14" s="4">
        <v>114683.0300186144</v>
      </c>
      <c r="D14" s="4">
        <v>129313.8104859284</v>
      </c>
      <c r="E14" s="4">
        <v>145264.6730745252</v>
      </c>
      <c r="F14" s="4">
        <v>162519.0538301522</v>
      </c>
      <c r="G14" s="4">
        <v>181026.0658655652</v>
      </c>
      <c r="H14" s="4">
        <v>200697.1881293582</v>
      </c>
      <c r="I14" s="4">
        <v>221404.8456545953</v>
      </c>
      <c r="J14" s="4">
        <v>242983.3875997872</v>
      </c>
      <c r="K14" s="4">
        <v>265232.7712836266</v>
      </c>
      <c r="L14" s="4">
        <v>287924.9690203902</v>
      </c>
      <c r="M14" s="4">
        <v>310812.769396899</v>
      </c>
      <c r="N14" s="4">
        <v>333640.307067264</v>
      </c>
      <c r="O14" s="4">
        <v>356154.3946043724</v>
      </c>
      <c r="P14" s="4">
        <v>378115.6047013524</v>
      </c>
      <c r="Q14" s="4">
        <v>399308.0902842972</v>
      </c>
      <c r="R14" s="4">
        <v>419547.3246386115</v>
      </c>
      <c r="S14" s="4">
        <v>438685.2487701626</v>
      </c>
      <c r="T14" s="4">
        <v>456612.6629250515</v>
      </c>
      <c r="U14" s="4">
        <v>473259.0256413978</v>
      </c>
      <c r="V14" s="4">
        <v>488590.0745872069</v>
      </c>
      <c r="W14" s="4">
        <v>502603.8317605245</v>
      </c>
      <c r="X14" s="4">
        <v>515325.6004022714</v>
      </c>
      <c r="Y14" s="4">
        <v>526802.5208183093</v>
      </c>
      <c r="Z14" s="4">
        <v>537098.1559032514</v>
      </c>
      <c r="AA14" s="4">
        <v>546287.454237203</v>
      </c>
      <c r="AB14" s="4">
        <v>554452.3137760008</v>
      </c>
      <c r="AC14" s="4">
        <v>561677.8589963871</v>
      </c>
      <c r="AD14" s="4">
        <v>568049.4574812935</v>
      </c>
      <c r="AE14" s="4">
        <v>573650.4404857318</v>
      </c>
      <c r="AF14" s="4">
        <v>578560.4538967655</v>
      </c>
      <c r="AG14" s="4">
        <v>582854.3468610764</v>
      </c>
      <c r="AH14" s="4">
        <v>586601.5002073509</v>
      </c>
      <c r="AI14" s="4">
        <v>589865.5009649864</v>
      </c>
      <c r="AJ14" s="4">
        <v>592704.0789177557</v>
      </c>
      <c r="AK14" s="4">
        <v>595169.2333372309</v>
      </c>
      <c r="AL14" s="4">
        <v>597307.4908274955</v>
      </c>
      <c r="AM14" s="4">
        <v>599160.2473396295</v>
      </c>
      <c r="AN14" s="4">
        <v>600764.1582051429</v>
      </c>
      <c r="AO14" s="4">
        <v>602151.5492081454</v>
      </c>
      <c r="AP14" s="4">
        <v>603350.829235071</v>
      </c>
      <c r="AQ14" s="4">
        <v>604386.8910237076</v>
      </c>
      <c r="AR14" s="4">
        <v>605281.4911687787</v>
      </c>
      <c r="AS14" s="4">
        <v>606053.6040433428</v>
      </c>
      <c r="AT14" s="4">
        <v>606719.7468739054</v>
      </c>
      <c r="AU14" s="4">
        <v>607294.2750531682</v>
      </c>
      <c r="AV14" s="4">
        <v>607789.6480522158</v>
      </c>
      <c r="AW14" s="4">
        <v>608216.6671403728</v>
      </c>
      <c r="AX14" s="4">
        <v>608584.6866463758</v>
      </c>
      <c r="AY14" s="4">
        <v>608901.8007861173</v>
      </c>
      <c r="AZ14" s="4">
        <v>609175.0082075146</v>
      </c>
      <c r="BA14" s="4">
        <v>609410.3564134445</v>
      </c>
      <c r="BB14" s="4">
        <v>609613.0681575245</v>
      </c>
      <c r="BC14" s="4">
        <v>609787.6517931217</v>
      </c>
      <c r="BD14" s="4">
        <v>609937.9974137134</v>
      </c>
      <c r="BE14" s="4">
        <v>610067.4604670682</v>
      </c>
      <c r="BF14" s="4">
        <v>610178.9343666374</v>
      </c>
      <c r="BG14" s="4">
        <v>610274.9134676893</v>
      </c>
      <c r="BH14" s="4">
        <v>610357.5476273554</v>
      </c>
      <c r="BI14" s="4">
        <v>610428.6894293713</v>
      </c>
      <c r="BJ14" s="4">
        <v>610489.9350271979</v>
      </c>
      <c r="BK14" s="4">
        <v>610542.6594438365</v>
      </c>
      <c r="BL14" s="4">
        <v>610588.0470628766</v>
      </c>
      <c r="BM14" s="4">
        <v>610627.117952681</v>
      </c>
      <c r="BN14" s="4">
        <v>610660.7505833865</v>
      </c>
      <c r="BO14" s="4">
        <v>610689.7014237847</v>
      </c>
      <c r="BP14" s="4">
        <v>610714.6218412744</v>
      </c>
      <c r="BQ14" s="4">
        <v>610736.0726720771</v>
      </c>
      <c r="BR14" s="4">
        <v>610754.5367799439</v>
      </c>
      <c r="BS14" s="4">
        <v>610770.4298788847</v>
      </c>
      <c r="BT14" s="4">
        <v>610784.1098582734</v>
      </c>
      <c r="BU14" s="4">
        <v>610795.8848163723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spans="1:85">
      <c r="A15" t="s">
        <v>47</v>
      </c>
      <c r="B15" s="4">
        <v>56917.19477339675</v>
      </c>
      <c r="C15" s="4">
        <v>64894.37292483576</v>
      </c>
      <c r="D15" s="4">
        <v>73796.58407551449</v>
      </c>
      <c r="E15" s="4">
        <v>83676.42096555002</v>
      </c>
      <c r="F15" s="4">
        <v>94574.31405239664</v>
      </c>
      <c r="G15" s="4">
        <v>106514.2806928078</v>
      </c>
      <c r="H15" s="4">
        <v>119499.5852173112</v>
      </c>
      <c r="I15" s="4">
        <v>133508.6640059822</v>
      </c>
      <c r="J15" s="4">
        <v>148491.7523434444</v>
      </c>
      <c r="K15" s="4">
        <v>164368.6929201879</v>
      </c>
      <c r="L15" s="4">
        <v>181028.3859109585</v>
      </c>
      <c r="M15" s="4">
        <v>198330.240532545</v>
      </c>
      <c r="N15" s="4">
        <v>216107.8048719511</v>
      </c>
      <c r="O15" s="4">
        <v>234174.5015255012</v>
      </c>
      <c r="P15" s="4">
        <v>252331.118914998</v>
      </c>
      <c r="Q15" s="4">
        <v>270374.4542688299</v>
      </c>
      <c r="R15" s="4">
        <v>288106.3281077392</v>
      </c>
      <c r="S15" s="4">
        <v>305342.1317519703</v>
      </c>
      <c r="T15" s="4">
        <v>321918.1425626069</v>
      </c>
      <c r="U15" s="4">
        <v>337697.0291909925</v>
      </c>
      <c r="V15" s="4">
        <v>352571.2285926579</v>
      </c>
      <c r="W15" s="4">
        <v>366464.1534407988</v>
      </c>
      <c r="X15" s="4">
        <v>379329.4317512758</v>
      </c>
      <c r="Y15" s="4">
        <v>391148.5545101326</v>
      </c>
      <c r="Z15" s="4">
        <v>401927.3973961645</v>
      </c>
      <c r="AA15" s="4">
        <v>411692.0942932809</v>
      </c>
      <c r="AB15" s="4">
        <v>420484.6913890401</v>
      </c>
      <c r="AC15" s="4">
        <v>428358.9249643089</v>
      </c>
      <c r="AD15" s="4">
        <v>435376.3661614605</v>
      </c>
      <c r="AE15" s="4">
        <v>441603.0796562673</v>
      </c>
      <c r="AF15" s="4">
        <v>447106.8612994575</v>
      </c>
      <c r="AG15" s="4">
        <v>451955.0574259135</v>
      </c>
      <c r="AH15" s="4">
        <v>456212.9260725748</v>
      </c>
      <c r="AI15" s="4">
        <v>459942.475394571</v>
      </c>
      <c r="AJ15" s="4">
        <v>463201.7034065987</v>
      </c>
      <c r="AK15" s="4">
        <v>466044.1618608385</v>
      </c>
      <c r="AL15" s="4">
        <v>468518.7720795632</v>
      </c>
      <c r="AM15" s="4">
        <v>470669.8290747879</v>
      </c>
      <c r="AN15" s="4">
        <v>472537.1402561895</v>
      </c>
      <c r="AO15" s="4">
        <v>474156.255082362</v>
      </c>
      <c r="AP15" s="4">
        <v>475558.7513259573</v>
      </c>
      <c r="AQ15" s="4">
        <v>476772.5517783394</v>
      </c>
      <c r="AR15" s="4">
        <v>477822.2520643756</v>
      </c>
      <c r="AS15" s="4">
        <v>478729.4457934236</v>
      </c>
      <c r="AT15" s="4">
        <v>479513.0376540411</v>
      </c>
      <c r="AU15" s="4">
        <v>480189.5384268882</v>
      </c>
      <c r="AV15" s="4">
        <v>480773.3384132774</v>
      </c>
      <c r="AW15" s="4">
        <v>481276.9576184881</v>
      </c>
      <c r="AX15" s="4">
        <v>481711.2723341792</v>
      </c>
      <c r="AY15" s="4">
        <v>482085.7186563056</v>
      </c>
      <c r="AZ15" s="4">
        <v>482408.474055328</v>
      </c>
      <c r="BA15" s="4">
        <v>482686.6184655429</v>
      </c>
      <c r="BB15" s="4">
        <v>482926.2765438385</v>
      </c>
      <c r="BC15" s="4">
        <v>483132.7428142142</v>
      </c>
      <c r="BD15" s="4">
        <v>483310.5914001339</v>
      </c>
      <c r="BE15" s="4">
        <v>483463.7719798558</v>
      </c>
      <c r="BF15" s="4">
        <v>483595.6935005134</v>
      </c>
      <c r="BG15" s="4">
        <v>483709.2970694268</v>
      </c>
      <c r="BH15" s="4">
        <v>483807.1193160882</v>
      </c>
      <c r="BI15" s="4">
        <v>483891.3473924738</v>
      </c>
      <c r="BJ15" s="4">
        <v>483963.8666573657</v>
      </c>
      <c r="BK15" s="4">
        <v>484026.3019751077</v>
      </c>
      <c r="BL15" s="4">
        <v>484080.0534522953</v>
      </c>
      <c r="BM15" s="4">
        <v>484126.3273381049</v>
      </c>
      <c r="BN15" s="4">
        <v>484166.1627254714</v>
      </c>
      <c r="BO15" s="4">
        <v>484200.4546109393</v>
      </c>
      <c r="BP15" s="4">
        <v>484229.973800281</v>
      </c>
      <c r="BQ15" s="4">
        <v>484255.3840843138</v>
      </c>
      <c r="BR15" s="4">
        <v>484277.2570540695</v>
      </c>
      <c r="BS15" s="4">
        <v>484296.0848759179</v>
      </c>
      <c r="BT15" s="4">
        <v>484312.2913047043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spans="1:85">
      <c r="A16" t="s">
        <v>48</v>
      </c>
      <c r="B16" s="4">
        <v>104574.4709100203</v>
      </c>
      <c r="C16" s="4">
        <v>118595.4321012547</v>
      </c>
      <c r="D16" s="4">
        <v>134066.818885361</v>
      </c>
      <c r="E16" s="4">
        <v>151024.4143132613</v>
      </c>
      <c r="F16" s="4">
        <v>169474.7272392709</v>
      </c>
      <c r="G16" s="4">
        <v>189389.1385399128</v>
      </c>
      <c r="H16" s="4">
        <v>210699.0111786172</v>
      </c>
      <c r="I16" s="4">
        <v>233292.4476812374</v>
      </c>
      <c r="J16" s="4">
        <v>257013.3560454655</v>
      </c>
      <c r="K16" s="4">
        <v>281663.3491928428</v>
      </c>
      <c r="L16" s="4">
        <v>307006.7481010454</v>
      </c>
      <c r="M16" s="4">
        <v>332778.6071722545</v>
      </c>
      <c r="N16" s="4">
        <v>358695.2844848448</v>
      </c>
      <c r="O16" s="4">
        <v>384466.7131175525</v>
      </c>
      <c r="P16" s="4">
        <v>409809.2701659842</v>
      </c>
      <c r="Q16" s="4">
        <v>434458.0463075381</v>
      </c>
      <c r="R16" s="4">
        <v>458177.4128086717</v>
      </c>
      <c r="S16" s="4">
        <v>480769.0426480501</v>
      </c>
      <c r="T16" s="4">
        <v>502076.9089904509</v>
      </c>
      <c r="U16" s="4">
        <v>521989.1801402001</v>
      </c>
      <c r="V16" s="4">
        <v>540437.2815728582</v>
      </c>
      <c r="W16" s="4">
        <v>557392.6504466021</v>
      </c>
      <c r="X16" s="4">
        <v>572861.8437299032</v>
      </c>
      <c r="Y16" s="4">
        <v>586880.6834703782</v>
      </c>
      <c r="Z16" s="4">
        <v>599508.0569687226</v>
      </c>
      <c r="AA16" s="4">
        <v>610819.8693823299</v>
      </c>
      <c r="AB16" s="4">
        <v>620903.5041965786</v>
      </c>
      <c r="AC16" s="4">
        <v>629853.0086638242</v>
      </c>
      <c r="AD16" s="4">
        <v>637765.1030230899</v>
      </c>
      <c r="AE16" s="4">
        <v>644736.0216406778</v>
      </c>
      <c r="AF16" s="4">
        <v>650859.132056683</v>
      </c>
      <c r="AG16" s="4">
        <v>656223.2410174657</v>
      </c>
      <c r="AH16" s="4">
        <v>660911.4796736061</v>
      </c>
      <c r="AI16" s="4">
        <v>665000.6575878359</v>
      </c>
      <c r="AJ16" s="4">
        <v>668560.9819484486</v>
      </c>
      <c r="AK16" s="4">
        <v>671656.0503401677</v>
      </c>
      <c r="AL16" s="4">
        <v>674343.0395963882</v>
      </c>
      <c r="AM16" s="4">
        <v>676673.0276382766</v>
      </c>
      <c r="AN16" s="4">
        <v>678691.3985835791</v>
      </c>
      <c r="AO16" s="4">
        <v>680438.2931512736</v>
      </c>
      <c r="AP16" s="4">
        <v>681949.0762659869</v>
      </c>
      <c r="AQ16" s="4">
        <v>683254.8017970391</v>
      </c>
      <c r="AR16" s="4">
        <v>684382.6607106053</v>
      </c>
      <c r="AS16" s="4">
        <v>685356.4037952813</v>
      </c>
      <c r="AT16" s="4">
        <v>686196.7337847453</v>
      </c>
      <c r="AU16" s="4">
        <v>686921.6643795012</v>
      </c>
      <c r="AV16" s="4">
        <v>687546.8455712871</v>
      </c>
      <c r="AW16" s="4">
        <v>688085.8559764639</v>
      </c>
      <c r="AX16" s="4">
        <v>688550.463735078</v>
      </c>
      <c r="AY16" s="4">
        <v>688950.8580479902</v>
      </c>
      <c r="AZ16" s="4">
        <v>689295.8536978309</v>
      </c>
      <c r="BA16" s="4">
        <v>689593.0710017692</v>
      </c>
      <c r="BB16" s="4">
        <v>689849.0936290807</v>
      </c>
      <c r="BC16" s="4">
        <v>690069.6066243759</v>
      </c>
      <c r="BD16" s="4">
        <v>690259.5168375415</v>
      </c>
      <c r="BE16" s="4">
        <v>690423.0577950258</v>
      </c>
      <c r="BF16" s="4">
        <v>690563.8808689668</v>
      </c>
      <c r="BG16" s="4">
        <v>690685.1344209573</v>
      </c>
      <c r="BH16" s="4">
        <v>690789.5324227114</v>
      </c>
      <c r="BI16" s="4">
        <v>690879.4138907566</v>
      </c>
      <c r="BJ16" s="4">
        <v>690956.7943189382</v>
      </c>
      <c r="BK16" s="4">
        <v>691023.4101521781</v>
      </c>
      <c r="BL16" s="4">
        <v>691080.7572178578</v>
      </c>
      <c r="BM16" s="4">
        <v>691130.123917165</v>
      </c>
      <c r="BN16" s="4">
        <v>691172.6198770993</v>
      </c>
      <c r="BO16" s="4">
        <v>691209.200673752</v>
      </c>
      <c r="BP16" s="4">
        <v>691240.6891580141</v>
      </c>
      <c r="BQ16" s="4">
        <v>691267.7938450287</v>
      </c>
      <c r="BR16" s="4">
        <v>691291.1247675314</v>
      </c>
      <c r="BS16" s="4">
        <v>691311.2071397695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>
      <c r="A17" t="s">
        <v>49</v>
      </c>
      <c r="B17" s="4">
        <v>74240.07094473255</v>
      </c>
      <c r="C17" s="4">
        <v>83881.28542148515</v>
      </c>
      <c r="D17" s="4">
        <v>94437.10227106827</v>
      </c>
      <c r="E17" s="4">
        <v>105908.4133969744</v>
      </c>
      <c r="F17" s="4">
        <v>118274.0252911589</v>
      </c>
      <c r="G17" s="4">
        <v>131487.7843885661</v>
      </c>
      <c r="H17" s="4">
        <v>145476.7793128809</v>
      </c>
      <c r="I17" s="4">
        <v>160141.0178840436</v>
      </c>
      <c r="J17" s="4">
        <v>175354.8818449256</v>
      </c>
      <c r="K17" s="4">
        <v>190970.4951470257</v>
      </c>
      <c r="L17" s="4">
        <v>206822.9189988115</v>
      </c>
      <c r="M17" s="4">
        <v>222736.8433706992</v>
      </c>
      <c r="N17" s="4">
        <v>238534.2267546426</v>
      </c>
      <c r="O17" s="4">
        <v>254042.1903877924</v>
      </c>
      <c r="P17" s="4">
        <v>269100.4331592415</v>
      </c>
      <c r="Q17" s="4">
        <v>283567.508427556</v>
      </c>
      <c r="R17" s="4">
        <v>297325.4764392761</v>
      </c>
      <c r="S17" s="4">
        <v>310282.6771358966</v>
      </c>
      <c r="T17" s="4">
        <v>322374.6097807875</v>
      </c>
      <c r="U17" s="4">
        <v>333563.1141807102</v>
      </c>
      <c r="V17" s="4">
        <v>343834.1938951522</v>
      </c>
      <c r="W17" s="4">
        <v>353194.8938356765</v>
      </c>
      <c r="X17" s="4">
        <v>361669.6488320773</v>
      </c>
      <c r="Y17" s="4">
        <v>369296.4728006453</v>
      </c>
      <c r="Z17" s="4">
        <v>376123.2810071199</v>
      </c>
      <c r="AA17" s="4">
        <v>382204.5501251336</v>
      </c>
      <c r="AB17" s="4">
        <v>387598.4372267104</v>
      </c>
      <c r="AC17" s="4">
        <v>392364.4086329534</v>
      </c>
      <c r="AD17" s="4">
        <v>396561.376617504</v>
      </c>
      <c r="AE17" s="4">
        <v>400246.3063532004</v>
      </c>
      <c r="AF17" s="4">
        <v>403473.2349499149</v>
      </c>
      <c r="AG17" s="4">
        <v>406292.6356365805</v>
      </c>
      <c r="AH17" s="4">
        <v>408751.0596538216</v>
      </c>
      <c r="AI17" s="4">
        <v>410890.9932095659</v>
      </c>
      <c r="AJ17" s="4">
        <v>412750.8745063028</v>
      </c>
      <c r="AK17" s="4">
        <v>414365.2246385393</v>
      </c>
      <c r="AL17" s="4">
        <v>415764.8549340978</v>
      </c>
      <c r="AM17" s="4">
        <v>416977.1213912569</v>
      </c>
      <c r="AN17" s="4">
        <v>418026.2039032304</v>
      </c>
      <c r="AO17" s="4">
        <v>418933.3938490374</v>
      </c>
      <c r="AP17" s="4">
        <v>419717.3783940103</v>
      </c>
      <c r="AQ17" s="4">
        <v>420394.5135908283</v>
      </c>
      <c r="AR17" s="4">
        <v>420979.0812447427</v>
      </c>
      <c r="AS17" s="4">
        <v>421483.5266540388</v>
      </c>
      <c r="AT17" s="4">
        <v>421918.6759000542</v>
      </c>
      <c r="AU17" s="4">
        <v>422293.932465493</v>
      </c>
      <c r="AV17" s="4">
        <v>422617.4537115287</v>
      </c>
      <c r="AW17" s="4">
        <v>422896.3082304037</v>
      </c>
      <c r="AX17" s="4">
        <v>423136.6153806249</v>
      </c>
      <c r="AY17" s="4">
        <v>423343.6684609489</v>
      </c>
      <c r="AZ17" s="4">
        <v>423522.043029098</v>
      </c>
      <c r="BA17" s="4">
        <v>423675.6918531997</v>
      </c>
      <c r="BB17" s="4">
        <v>423808.0279218128</v>
      </c>
      <c r="BC17" s="4">
        <v>423921.9968492817</v>
      </c>
      <c r="BD17" s="4">
        <v>424020.1399093385</v>
      </c>
      <c r="BE17" s="4">
        <v>424104.648819975</v>
      </c>
      <c r="BF17" s="4">
        <v>424177.4132925149</v>
      </c>
      <c r="BG17" s="4">
        <v>424240.062251388</v>
      </c>
      <c r="BH17" s="4">
        <v>424293.9995307293</v>
      </c>
      <c r="BI17" s="4">
        <v>424340.4347609676</v>
      </c>
      <c r="BJ17" s="4">
        <v>424380.4100736246</v>
      </c>
      <c r="BK17" s="4">
        <v>424414.8231757728</v>
      </c>
      <c r="BL17" s="4">
        <v>424444.4472767619</v>
      </c>
      <c r="BM17" s="4">
        <v>424469.948288546</v>
      </c>
      <c r="BN17" s="4">
        <v>424491.8996666595</v>
      </c>
      <c r="BO17" s="4">
        <v>424510.7952110464</v>
      </c>
      <c r="BP17" s="4">
        <v>424527.0601039201</v>
      </c>
      <c r="BQ17" s="4">
        <v>424541.0604250245</v>
      </c>
      <c r="BR17" s="4">
        <v>424553.1113525354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>
      <c r="A18" t="s">
        <v>50</v>
      </c>
      <c r="B18" s="4">
        <v>75150.97475117981</v>
      </c>
      <c r="C18" s="4">
        <v>85082.03426568108</v>
      </c>
      <c r="D18" s="4">
        <v>96001.31342063904</v>
      </c>
      <c r="E18" s="4">
        <v>107922.6371201423</v>
      </c>
      <c r="F18" s="4">
        <v>120838.0016357686</v>
      </c>
      <c r="G18" s="4">
        <v>134713.9443773875</v>
      </c>
      <c r="H18" s="4">
        <v>149488.8076350639</v>
      </c>
      <c r="I18" s="4">
        <v>165071.3552430184</v>
      </c>
      <c r="J18" s="4">
        <v>181341.1460275218</v>
      </c>
      <c r="K18" s="4">
        <v>198150.9326187505</v>
      </c>
      <c r="L18" s="4">
        <v>215331.1447002782</v>
      </c>
      <c r="M18" s="4">
        <v>232696.2582535432</v>
      </c>
      <c r="N18" s="4">
        <v>250052.5908954077</v>
      </c>
      <c r="O18" s="4">
        <v>267206.8506155426</v>
      </c>
      <c r="P18" s="4">
        <v>283974.6480998521</v>
      </c>
      <c r="Q18" s="4">
        <v>300188.1885579388</v>
      </c>
      <c r="R18" s="4">
        <v>315702.486206709</v>
      </c>
      <c r="S18" s="4">
        <v>330399.6638571882</v>
      </c>
      <c r="T18" s="4">
        <v>344191.1632764725</v>
      </c>
      <c r="U18" s="4">
        <v>357017.9467748111</v>
      </c>
      <c r="V18" s="4">
        <v>368848.9740565556</v>
      </c>
      <c r="W18" s="4">
        <v>379678.3663881451</v>
      </c>
      <c r="X18" s="4">
        <v>389521.7183255295</v>
      </c>
      <c r="Y18" s="4">
        <v>398411.9974477457</v>
      </c>
      <c r="Z18" s="4">
        <v>406395.4056582091</v>
      </c>
      <c r="AA18" s="4">
        <v>413527.4845044349</v>
      </c>
      <c r="AB18" s="4">
        <v>419869.6512815023</v>
      </c>
      <c r="AC18" s="4">
        <v>425486.2662492998</v>
      </c>
      <c r="AD18" s="4">
        <v>430442.2617220908</v>
      </c>
      <c r="AE18" s="4">
        <v>434801.3135181533</v>
      </c>
      <c r="AF18" s="4">
        <v>438624.5031683816</v>
      </c>
      <c r="AG18" s="4">
        <v>441969.4023031364</v>
      </c>
      <c r="AH18" s="4">
        <v>444889.5050000983</v>
      </c>
      <c r="AI18" s="4">
        <v>447433.9359492528</v>
      </c>
      <c r="AJ18" s="4">
        <v>449647.369012663</v>
      </c>
      <c r="AK18" s="4">
        <v>451570.0997901643</v>
      </c>
      <c r="AL18" s="4">
        <v>453238.2255150803</v>
      </c>
      <c r="AM18" s="4">
        <v>454683.8949576166</v>
      </c>
      <c r="AN18" s="4">
        <v>455935.5994234085</v>
      </c>
      <c r="AO18" s="4">
        <v>457018.4831376902</v>
      </c>
      <c r="AP18" s="4">
        <v>457954.6572484063</v>
      </c>
      <c r="AQ18" s="4">
        <v>458763.5064357581</v>
      </c>
      <c r="AR18" s="4">
        <v>459461.9808172388</v>
      </c>
      <c r="AS18" s="4">
        <v>460064.8686470013</v>
      </c>
      <c r="AT18" s="4">
        <v>460585.0473876932</v>
      </c>
      <c r="AU18" s="4">
        <v>461033.7122298793</v>
      </c>
      <c r="AV18" s="4">
        <v>461420.5821776966</v>
      </c>
      <c r="AW18" s="4">
        <v>461754.0845172117</v>
      </c>
      <c r="AX18" s="4">
        <v>462041.5189235577</v>
      </c>
      <c r="AY18" s="4">
        <v>462289.2027136678</v>
      </c>
      <c r="AZ18" s="4">
        <v>462502.5988671951</v>
      </c>
      <c r="BA18" s="4">
        <v>462686.4284601336</v>
      </c>
      <c r="BB18" s="4">
        <v>462844.7691145989</v>
      </c>
      <c r="BC18" s="4">
        <v>462981.1409869592</v>
      </c>
      <c r="BD18" s="4">
        <v>463098.5817115446</v>
      </c>
      <c r="BE18" s="4">
        <v>463199.7116002364</v>
      </c>
      <c r="BF18" s="4">
        <v>463286.790277483</v>
      </c>
      <c r="BG18" s="4">
        <v>463361.765811196</v>
      </c>
      <c r="BH18" s="4">
        <v>463426.3172860644</v>
      </c>
      <c r="BI18" s="4">
        <v>463481.891659213</v>
      </c>
      <c r="BJ18" s="4">
        <v>463529.7356399615</v>
      </c>
      <c r="BK18" s="4">
        <v>463570.9232461434</v>
      </c>
      <c r="BL18" s="4">
        <v>463606.379609003</v>
      </c>
      <c r="BM18" s="4">
        <v>463636.9015267812</v>
      </c>
      <c r="BN18" s="4">
        <v>463663.1752032158</v>
      </c>
      <c r="BO18" s="4">
        <v>463685.7915507117</v>
      </c>
      <c r="BP18" s="4">
        <v>463705.2593882285</v>
      </c>
      <c r="BQ18" s="4">
        <v>463722.0168203284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spans="1:85">
      <c r="A19" t="s">
        <v>51</v>
      </c>
      <c r="B19" s="4">
        <v>114403.6329729295</v>
      </c>
      <c r="C19" s="4">
        <v>129531.8288129641</v>
      </c>
      <c r="D19" s="4">
        <v>146168.0896354209</v>
      </c>
      <c r="E19" s="4">
        <v>164334.2497416947</v>
      </c>
      <c r="F19" s="4">
        <v>184018.9569274335</v>
      </c>
      <c r="G19" s="4">
        <v>205172.1052704184</v>
      </c>
      <c r="H19" s="4">
        <v>227700.61602346</v>
      </c>
      <c r="I19" s="4">
        <v>251466.2680023441</v>
      </c>
      <c r="J19" s="4">
        <v>276286.1975632005</v>
      </c>
      <c r="K19" s="4">
        <v>301936.4846495718</v>
      </c>
      <c r="L19" s="4">
        <v>328158.9238665225</v>
      </c>
      <c r="M19" s="4">
        <v>354670.6873930474</v>
      </c>
      <c r="N19" s="4">
        <v>381176.1865340397</v>
      </c>
      <c r="O19" s="4">
        <v>407380.1110937207</v>
      </c>
      <c r="P19" s="4">
        <v>433000.4427702096</v>
      </c>
      <c r="Q19" s="4">
        <v>457780.2428602346</v>
      </c>
      <c r="R19" s="4">
        <v>481497.2047606898</v>
      </c>
      <c r="S19" s="4">
        <v>503970.294012978</v>
      </c>
      <c r="T19" s="4">
        <v>525063.199905641</v>
      </c>
      <c r="U19" s="4">
        <v>544684.7128431092</v>
      </c>
      <c r="V19" s="4">
        <v>562786.4549893618</v>
      </c>
      <c r="W19" s="4">
        <v>579358.5901244697</v>
      </c>
      <c r="X19" s="4">
        <v>594424.2150250656</v>
      </c>
      <c r="Y19" s="4">
        <v>608033.1066034173</v>
      </c>
      <c r="Z19" s="4">
        <v>620255.3982216634</v>
      </c>
      <c r="AA19" s="4">
        <v>631175.6199847162</v>
      </c>
      <c r="AB19" s="4">
        <v>640887.3915929912</v>
      </c>
      <c r="AC19" s="4">
        <v>649488.9238454869</v>
      </c>
      <c r="AD19" s="4">
        <v>657079.3779652664</v>
      </c>
      <c r="AE19" s="4">
        <v>663756.0544562034</v>
      </c>
      <c r="AF19" s="4">
        <v>669612.3335838951</v>
      </c>
      <c r="AG19" s="4">
        <v>674736.2631596454</v>
      </c>
      <c r="AH19" s="4">
        <v>679209.6803517847</v>
      </c>
      <c r="AI19" s="4">
        <v>683107.7571909151</v>
      </c>
      <c r="AJ19" s="4">
        <v>686498.8695748566</v>
      </c>
      <c r="AK19" s="4">
        <v>689444.7033209573</v>
      </c>
      <c r="AL19" s="4">
        <v>692000.525641211</v>
      </c>
      <c r="AM19" s="4">
        <v>694215.5647237176</v>
      </c>
      <c r="AN19" s="4">
        <v>696133.4529859963</v>
      </c>
      <c r="AO19" s="4">
        <v>697792.7006102126</v>
      </c>
      <c r="AP19" s="4">
        <v>699227.1750900723</v>
      </c>
      <c r="AQ19" s="4">
        <v>700466.5698197463</v>
      </c>
      <c r="AR19" s="4">
        <v>701536.8504429247</v>
      </c>
      <c r="AS19" s="4">
        <v>702460.6720001635</v>
      </c>
      <c r="AT19" s="4">
        <v>703257.7631116044</v>
      </c>
      <c r="AU19" s="4">
        <v>703945.2757368293</v>
      </c>
      <c r="AV19" s="4">
        <v>704538.1006615469</v>
      </c>
      <c r="AW19" s="4">
        <v>705049.1499373206</v>
      </c>
      <c r="AX19" s="4">
        <v>705489.6081799001</v>
      </c>
      <c r="AY19" s="4">
        <v>705869.1550204607</v>
      </c>
      <c r="AZ19" s="4">
        <v>706196.1611849603</v>
      </c>
      <c r="BA19" s="4">
        <v>706477.8607131403</v>
      </c>
      <c r="BB19" s="4">
        <v>706720.5017678591</v>
      </c>
      <c r="BC19" s="4">
        <v>706929.4783625057</v>
      </c>
      <c r="BD19" s="4">
        <v>707109.4451746035</v>
      </c>
      <c r="BE19" s="4">
        <v>707264.4174354512</v>
      </c>
      <c r="BF19" s="4">
        <v>707397.8577012952</v>
      </c>
      <c r="BG19" s="4">
        <v>707512.7511295436</v>
      </c>
      <c r="BH19" s="4">
        <v>707611.670709365</v>
      </c>
      <c r="BI19" s="4">
        <v>707696.8337329269</v>
      </c>
      <c r="BJ19" s="4">
        <v>707770.1506433156</v>
      </c>
      <c r="BK19" s="4">
        <v>707833.2672585024</v>
      </c>
      <c r="BL19" s="4">
        <v>707887.6012475725</v>
      </c>
      <c r="BM19" s="4">
        <v>707934.3736253327</v>
      </c>
      <c r="BN19" s="4">
        <v>707974.6359335843</v>
      </c>
      <c r="BO19" s="4">
        <v>708009.2936908571</v>
      </c>
      <c r="BP19" s="4">
        <v>708039.1266162744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>
      <c r="A20" t="s">
        <v>52</v>
      </c>
      <c r="B20" s="4">
        <v>45267.67092838367</v>
      </c>
      <c r="C20" s="4">
        <v>51420.99675489171</v>
      </c>
      <c r="D20" s="4">
        <v>58234.27744148992</v>
      </c>
      <c r="E20" s="4">
        <v>65730.42366134323</v>
      </c>
      <c r="F20" s="4">
        <v>73920.33313295986</v>
      </c>
      <c r="G20" s="4">
        <v>82800.04949915624</v>
      </c>
      <c r="H20" s="4">
        <v>92348.20453914764</v>
      </c>
      <c r="I20" s="4">
        <v>102524.0485589692</v>
      </c>
      <c r="J20" s="4">
        <v>113266.3878051823</v>
      </c>
      <c r="K20" s="4">
        <v>124493.7147434698</v>
      </c>
      <c r="L20" s="4">
        <v>136105.7287728933</v>
      </c>
      <c r="M20" s="4">
        <v>147986.3042595365</v>
      </c>
      <c r="N20" s="4">
        <v>160007.7864597361</v>
      </c>
      <c r="O20" s="4">
        <v>172036.3134942738</v>
      </c>
      <c r="P20" s="4">
        <v>183937.7102936665</v>
      </c>
      <c r="Q20" s="4">
        <v>195583.4117576088</v>
      </c>
      <c r="R20" s="4">
        <v>206855.8677731749</v>
      </c>
      <c r="S20" s="4">
        <v>217652.9632996201</v>
      </c>
      <c r="T20" s="4">
        <v>227891.1337511806</v>
      </c>
      <c r="U20" s="4">
        <v>237507.0369015148</v>
      </c>
      <c r="V20" s="4">
        <v>246457.8210437195</v>
      </c>
      <c r="W20" s="4">
        <v>254720.1745743937</v>
      </c>
      <c r="X20" s="4">
        <v>262288.4362714899</v>
      </c>
      <c r="Y20" s="4">
        <v>269172.0840746412</v>
      </c>
      <c r="Z20" s="4">
        <v>275392.9104684249</v>
      </c>
      <c r="AA20" s="4">
        <v>280982.1487053699</v>
      </c>
      <c r="AB20" s="4">
        <v>285977.751975592</v>
      </c>
      <c r="AC20" s="4">
        <v>290421.9611694877</v>
      </c>
      <c r="AD20" s="4">
        <v>294359.2360897227</v>
      </c>
      <c r="AE20" s="4">
        <v>297834.5755203252</v>
      </c>
      <c r="AF20" s="4">
        <v>300892.2154440039</v>
      </c>
      <c r="AG20" s="4">
        <v>303574.6713271335</v>
      </c>
      <c r="AH20" s="4">
        <v>305922.0777254514</v>
      </c>
      <c r="AI20" s="4">
        <v>307971.7739104871</v>
      </c>
      <c r="AJ20" s="4">
        <v>309758.0852344598</v>
      </c>
      <c r="AK20" s="4">
        <v>311312.2543733407</v>
      </c>
      <c r="AL20" s="4">
        <v>312662.4827461949</v>
      </c>
      <c r="AM20" s="4">
        <v>313834.0491283872</v>
      </c>
      <c r="AN20" s="4">
        <v>314849.4790013267</v>
      </c>
      <c r="AO20" s="4">
        <v>315728.7440810334</v>
      </c>
      <c r="AP20" s="4">
        <v>316489.4765417292</v>
      </c>
      <c r="AQ20" s="4">
        <v>317147.186650724</v>
      </c>
      <c r="AR20" s="4">
        <v>317715.4759002643</v>
      </c>
      <c r="AS20" s="4">
        <v>318206.2403520337</v>
      </c>
      <c r="AT20" s="4">
        <v>318629.8609112861</v>
      </c>
      <c r="AU20" s="4">
        <v>318995.3787323204</v>
      </c>
      <c r="AV20" s="4">
        <v>319310.6550289752</v>
      </c>
      <c r="AW20" s="4">
        <v>319582.5153136449</v>
      </c>
      <c r="AX20" s="4">
        <v>319816.8785920869</v>
      </c>
      <c r="AY20" s="4">
        <v>320018.8723608685</v>
      </c>
      <c r="AZ20" s="4">
        <v>320192.9344389114</v>
      </c>
      <c r="BA20" s="4">
        <v>320342.9027524848</v>
      </c>
      <c r="BB20" s="4">
        <v>320472.0942134728</v>
      </c>
      <c r="BC20" s="4">
        <v>320583.3738057616</v>
      </c>
      <c r="BD20" s="4">
        <v>320679.2149404603</v>
      </c>
      <c r="BE20" s="4">
        <v>320761.7520691449</v>
      </c>
      <c r="BF20" s="4">
        <v>320832.8264638588</v>
      </c>
      <c r="BG20" s="4">
        <v>320894.0259890204</v>
      </c>
      <c r="BH20" s="4">
        <v>320946.7196076647</v>
      </c>
      <c r="BI20" s="4">
        <v>320992.0872851115</v>
      </c>
      <c r="BJ20" s="4">
        <v>321031.1458787734</v>
      </c>
      <c r="BK20" s="4">
        <v>321064.7715342303</v>
      </c>
      <c r="BL20" s="4">
        <v>321093.7190452432</v>
      </c>
      <c r="BM20" s="4">
        <v>321118.6385790744</v>
      </c>
      <c r="BN20" s="4">
        <v>321140.09011811</v>
      </c>
      <c r="BO20" s="4">
        <v>321158.555924011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spans="1:85">
      <c r="A21" t="s">
        <v>53</v>
      </c>
      <c r="B21" s="4">
        <v>51617.094714374</v>
      </c>
      <c r="C21" s="4">
        <v>58577.6744064653</v>
      </c>
      <c r="D21" s="4">
        <v>66269.33864277246</v>
      </c>
      <c r="E21" s="4">
        <v>74713.20578014209</v>
      </c>
      <c r="F21" s="4">
        <v>83916.22957353981</v>
      </c>
      <c r="G21" s="4">
        <v>93868.15935486461</v>
      </c>
      <c r="H21" s="4">
        <v>104538.9145008686</v>
      </c>
      <c r="I21" s="4">
        <v>115876.7162838474</v>
      </c>
      <c r="J21" s="4">
        <v>127807.320278331</v>
      </c>
      <c r="K21" s="4">
        <v>140234.6372040903</v>
      </c>
      <c r="L21" s="4">
        <v>153042.9138198322</v>
      </c>
      <c r="M21" s="4">
        <v>166100.4761676684</v>
      </c>
      <c r="N21" s="4">
        <v>179264.8384081481</v>
      </c>
      <c r="O21" s="4">
        <v>192388.7873347772</v>
      </c>
      <c r="P21" s="4">
        <v>205326.9053085971</v>
      </c>
      <c r="Q21" s="4">
        <v>217941.9258369098</v>
      </c>
      <c r="R21" s="4">
        <v>230110.342336909</v>
      </c>
      <c r="S21" s="4">
        <v>241726.8055838433</v>
      </c>
      <c r="T21" s="4">
        <v>252707.0225758869</v>
      </c>
      <c r="U21" s="4">
        <v>262989.0708438344</v>
      </c>
      <c r="V21" s="4">
        <v>272533.2287614973</v>
      </c>
      <c r="W21" s="4">
        <v>281320.564582239</v>
      </c>
      <c r="X21" s="4">
        <v>289350.6098253137</v>
      </c>
      <c r="Y21" s="4">
        <v>296638.4662222358</v>
      </c>
      <c r="Z21" s="4">
        <v>303211.6707495409</v>
      </c>
      <c r="AA21" s="4">
        <v>309107.086925979</v>
      </c>
      <c r="AB21" s="4">
        <v>314368.0195776788</v>
      </c>
      <c r="AC21" s="4">
        <v>319041.6786544046</v>
      </c>
      <c r="AD21" s="4">
        <v>323177.0547844949</v>
      </c>
      <c r="AE21" s="4">
        <v>326823.2198606882</v>
      </c>
      <c r="AF21" s="4">
        <v>330028.0311698031</v>
      </c>
      <c r="AG21" s="4">
        <v>332837.1961299644</v>
      </c>
      <c r="AH21" s="4">
        <v>335293.6440597763</v>
      </c>
      <c r="AI21" s="4">
        <v>337437.148701372</v>
      </c>
      <c r="AJ21" s="4">
        <v>339304.1477806587</v>
      </c>
      <c r="AK21" s="4">
        <v>340927.7115157595</v>
      </c>
      <c r="AL21" s="4">
        <v>342337.6190358691</v>
      </c>
      <c r="AM21" s="4">
        <v>343560.5090226084</v>
      </c>
      <c r="AN21" s="4">
        <v>344620.0778357941</v>
      </c>
      <c r="AO21" s="4">
        <v>345537.30455687</v>
      </c>
      <c r="AP21" s="4">
        <v>346330.6876198724</v>
      </c>
      <c r="AQ21" s="4">
        <v>347016.481987939</v>
      </c>
      <c r="AR21" s="4">
        <v>347608.9292417386</v>
      </c>
      <c r="AS21" s="4">
        <v>348120.4755843361</v>
      </c>
      <c r="AT21" s="4">
        <v>348561.9747580905</v>
      </c>
      <c r="AU21" s="4">
        <v>348942.8743337615</v>
      </c>
      <c r="AV21" s="4">
        <v>349271.3848792409</v>
      </c>
      <c r="AW21" s="4">
        <v>349554.6322391785</v>
      </c>
      <c r="AX21" s="4">
        <v>349798.7936352612</v>
      </c>
      <c r="AY21" s="4">
        <v>350009.2185929613</v>
      </c>
      <c r="AZ21" s="4">
        <v>350190.5358638788</v>
      </c>
      <c r="BA21" s="4">
        <v>350346.7475817894</v>
      </c>
      <c r="BB21" s="4">
        <v>350481.3118943848</v>
      </c>
      <c r="BC21" s="4">
        <v>350597.2152732957</v>
      </c>
      <c r="BD21" s="4">
        <v>350697.0356383712</v>
      </c>
      <c r="BE21" s="4">
        <v>350782.9973499374</v>
      </c>
      <c r="BF21" s="4">
        <v>350857.0190330747</v>
      </c>
      <c r="BG21" s="4">
        <v>350920.7551064677</v>
      </c>
      <c r="BH21" s="4">
        <v>350975.6317988875</v>
      </c>
      <c r="BI21" s="4">
        <v>351022.8783512338</v>
      </c>
      <c r="BJ21" s="4">
        <v>351063.5540227284</v>
      </c>
      <c r="BK21" s="4">
        <v>351098.5714470124</v>
      </c>
      <c r="BL21" s="4">
        <v>351128.7168178134</v>
      </c>
      <c r="BM21" s="4">
        <v>351154.6673244277</v>
      </c>
      <c r="BN21" s="4">
        <v>351177.006204221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>
      <c r="A22" t="s">
        <v>54</v>
      </c>
      <c r="B22" s="4">
        <v>58496.17520415403</v>
      </c>
      <c r="C22" s="4">
        <v>66371.93604139423</v>
      </c>
      <c r="D22" s="4">
        <v>75071.46567236027</v>
      </c>
      <c r="E22" s="4">
        <v>84617.60682542554</v>
      </c>
      <c r="F22" s="4">
        <v>95017.05648099536</v>
      </c>
      <c r="G22" s="4">
        <v>106256.9672197074</v>
      </c>
      <c r="H22" s="4">
        <v>118302.0376178165</v>
      </c>
      <c r="I22" s="4">
        <v>131092.4789563196</v>
      </c>
      <c r="J22" s="4">
        <v>144543.2420830608</v>
      </c>
      <c r="K22" s="4">
        <v>158544.821840922</v>
      </c>
      <c r="L22" s="4">
        <v>172965.8215723363</v>
      </c>
      <c r="M22" s="4">
        <v>187657.2668161404</v>
      </c>
      <c r="N22" s="4">
        <v>202458.4326619832</v>
      </c>
      <c r="O22" s="4">
        <v>217203.7340251541</v>
      </c>
      <c r="P22" s="4">
        <v>231730.0670941612</v>
      </c>
      <c r="Q22" s="4">
        <v>245883.9196092893</v>
      </c>
      <c r="R22" s="4">
        <v>259527.6039626024</v>
      </c>
      <c r="S22" s="4">
        <v>272544.1018265528</v>
      </c>
      <c r="T22" s="4">
        <v>284840.2113038052</v>
      </c>
      <c r="U22" s="4">
        <v>296347.9140660923</v>
      </c>
      <c r="V22" s="4">
        <v>307024.0873276254</v>
      </c>
      <c r="W22" s="4">
        <v>316848.841435725</v>
      </c>
      <c r="X22" s="4">
        <v>325822.8526972223</v>
      </c>
      <c r="Y22" s="4">
        <v>333964.083692817</v>
      </c>
      <c r="Z22" s="4">
        <v>341304.2527583056</v>
      </c>
      <c r="AA22" s="4">
        <v>347885.3493858371</v>
      </c>
      <c r="AB22" s="4">
        <v>353756.4120503709</v>
      </c>
      <c r="AC22" s="4">
        <v>358970.7048161156</v>
      </c>
      <c r="AD22" s="4">
        <v>363583.3592189125</v>
      </c>
      <c r="AE22" s="4">
        <v>367649.4934245533</v>
      </c>
      <c r="AF22" s="4">
        <v>371222.7825719113</v>
      </c>
      <c r="AG22" s="4">
        <v>374354.4309542595</v>
      </c>
      <c r="AH22" s="4">
        <v>377092.4853889571</v>
      </c>
      <c r="AI22" s="4">
        <v>379481.4265444063</v>
      </c>
      <c r="AJ22" s="4">
        <v>381561.9781562197</v>
      </c>
      <c r="AK22" s="4">
        <v>383371.0805398648</v>
      </c>
      <c r="AL22" s="4">
        <v>384941.9827867624</v>
      </c>
      <c r="AM22" s="4">
        <v>386304.416283874</v>
      </c>
      <c r="AN22" s="4">
        <v>387484.8199639959</v>
      </c>
      <c r="AO22" s="4">
        <v>388506.5945685824</v>
      </c>
      <c r="AP22" s="4">
        <v>389390.3690238773</v>
      </c>
      <c r="AQ22" s="4">
        <v>390154.2667865259</v>
      </c>
      <c r="AR22" s="4">
        <v>390814.1637880137</v>
      </c>
      <c r="AS22" s="4">
        <v>391383.9325230771</v>
      </c>
      <c r="AT22" s="4">
        <v>391875.6690243921</v>
      </c>
      <c r="AU22" s="4">
        <v>392299.9010792994</v>
      </c>
      <c r="AV22" s="4">
        <v>392665.7771957781</v>
      </c>
      <c r="AW22" s="4">
        <v>392981.2366188577</v>
      </c>
      <c r="AX22" s="4">
        <v>393253.1612217208</v>
      </c>
      <c r="AY22" s="4">
        <v>393487.5104176709</v>
      </c>
      <c r="AZ22" s="4">
        <v>393689.4404148984</v>
      </c>
      <c r="BA22" s="4">
        <v>393863.4092080434</v>
      </c>
      <c r="BB22" s="4">
        <v>394013.2687012026</v>
      </c>
      <c r="BC22" s="4">
        <v>394142.3453103364</v>
      </c>
      <c r="BD22" s="4">
        <v>394253.5103166977</v>
      </c>
      <c r="BE22" s="4">
        <v>394349.2411496776</v>
      </c>
      <c r="BF22" s="4">
        <v>394431.6746763476</v>
      </c>
      <c r="BG22" s="4">
        <v>394502.6534721752</v>
      </c>
      <c r="BH22" s="4">
        <v>394563.7659470135</v>
      </c>
      <c r="BI22" s="4">
        <v>394616.3811051468</v>
      </c>
      <c r="BJ22" s="4">
        <v>394661.6786294181</v>
      </c>
      <c r="BK22" s="4">
        <v>394700.6748980638</v>
      </c>
      <c r="BL22" s="4">
        <v>394734.2454690577</v>
      </c>
      <c r="BM22" s="4">
        <v>394763.1445004353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spans="1:85">
      <c r="A23" t="s">
        <v>55</v>
      </c>
      <c r="B23" s="4">
        <v>43243.25460065671</v>
      </c>
      <c r="C23" s="4">
        <v>49199.19056541339</v>
      </c>
      <c r="D23" s="4">
        <v>55815.95778653101</v>
      </c>
      <c r="E23" s="4">
        <v>63122.80479994467</v>
      </c>
      <c r="F23" s="4">
        <v>71138.31216462939</v>
      </c>
      <c r="G23" s="4">
        <v>79867.42798675498</v>
      </c>
      <c r="H23" s="4">
        <v>89298.63668956672</v>
      </c>
      <c r="I23" s="4">
        <v>99401.55037243884</v>
      </c>
      <c r="J23" s="4">
        <v>110125.2474854772</v>
      </c>
      <c r="K23" s="4">
        <v>121397.678618049</v>
      </c>
      <c r="L23" s="4">
        <v>133126.4011653954</v>
      </c>
      <c r="M23" s="4">
        <v>145200.7893982981</v>
      </c>
      <c r="N23" s="4">
        <v>157495.7029938361</v>
      </c>
      <c r="O23" s="4">
        <v>169876.4087624252</v>
      </c>
      <c r="P23" s="4">
        <v>182204.3715140518</v>
      </c>
      <c r="Q23" s="4">
        <v>194343.3980838056</v>
      </c>
      <c r="R23" s="4">
        <v>206165.5632364872</v>
      </c>
      <c r="S23" s="4">
        <v>217556.3804369846</v>
      </c>
      <c r="T23" s="4">
        <v>228418.7962550448</v>
      </c>
      <c r="U23" s="4">
        <v>238675.758037819</v>
      </c>
      <c r="V23" s="4">
        <v>248271.293929285</v>
      </c>
      <c r="W23" s="4">
        <v>257170.2163694945</v>
      </c>
      <c r="X23" s="4">
        <v>265356.6883597512</v>
      </c>
      <c r="Y23" s="4">
        <v>272831.9635705257</v>
      </c>
      <c r="Z23" s="4">
        <v>279611.6280852057</v>
      </c>
      <c r="AA23" s="4">
        <v>285722.644408153</v>
      </c>
      <c r="AB23" s="4">
        <v>291200.4431863644</v>
      </c>
      <c r="AC23" s="4">
        <v>296086.2407385026</v>
      </c>
      <c r="AD23" s="4">
        <v>300424.6936762787</v>
      </c>
      <c r="AE23" s="4">
        <v>304261.9439712053</v>
      </c>
      <c r="AF23" s="4">
        <v>307644.0628370619</v>
      </c>
      <c r="AG23" s="4">
        <v>310615.8705167115</v>
      </c>
      <c r="AH23" s="4">
        <v>313220.0900999179</v>
      </c>
      <c r="AI23" s="4">
        <v>315496.7844177934</v>
      </c>
      <c r="AJ23" s="4">
        <v>317483.0231583548</v>
      </c>
      <c r="AK23" s="4">
        <v>319212.7301522265</v>
      </c>
      <c r="AL23" s="4">
        <v>320716.6662759626</v>
      </c>
      <c r="AM23" s="4">
        <v>322022.5101229041</v>
      </c>
      <c r="AN23" s="4">
        <v>323155.0054874966</v>
      </c>
      <c r="AO23" s="4">
        <v>324136.151178388</v>
      </c>
      <c r="AP23" s="4">
        <v>324985.4143889036</v>
      </c>
      <c r="AQ23" s="4">
        <v>325719.9536812961</v>
      </c>
      <c r="AR23" s="4">
        <v>326354.8415811289</v>
      </c>
      <c r="AS23" s="4">
        <v>326903.2799005763</v>
      </c>
      <c r="AT23" s="4">
        <v>327376.8033196754</v>
      </c>
      <c r="AU23" s="4">
        <v>327785.468568785</v>
      </c>
      <c r="AV23" s="4">
        <v>328138.0278861972</v>
      </c>
      <c r="AW23" s="4">
        <v>328442.0863732379</v>
      </c>
      <c r="AX23" s="4">
        <v>328704.2435220281</v>
      </c>
      <c r="AY23" s="4">
        <v>328930.2196201485</v>
      </c>
      <c r="AZ23" s="4">
        <v>329124.9679995208</v>
      </c>
      <c r="BA23" s="4">
        <v>329292.7742393812</v>
      </c>
      <c r="BB23" s="4">
        <v>329437.343490404</v>
      </c>
      <c r="BC23" s="4">
        <v>329561.8770854704</v>
      </c>
      <c r="BD23" s="4">
        <v>329669.1395621788</v>
      </c>
      <c r="BE23" s="4">
        <v>329761.5171575352</v>
      </c>
      <c r="BF23" s="4">
        <v>329841.0687568611</v>
      </c>
      <c r="BG23" s="4">
        <v>329909.5701942284</v>
      </c>
      <c r="BH23" s="4">
        <v>329968.5527157731</v>
      </c>
      <c r="BI23" s="4">
        <v>330019.3363334302</v>
      </c>
      <c r="BJ23" s="4">
        <v>330063.0587171232</v>
      </c>
      <c r="BK23" s="4">
        <v>330100.7001994622</v>
      </c>
      <c r="BL23" s="4">
        <v>330133.1053991969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>
      <c r="A24" t="s">
        <v>56</v>
      </c>
      <c r="B24" s="4">
        <v>25542.18860059062</v>
      </c>
      <c r="C24" s="4">
        <v>29037.82121386978</v>
      </c>
      <c r="D24" s="4">
        <v>32915.01552836699</v>
      </c>
      <c r="E24" s="4">
        <v>37188.89913465745</v>
      </c>
      <c r="F24" s="4">
        <v>41868.05169967844</v>
      </c>
      <c r="G24" s="4">
        <v>46952.82294185752</v>
      </c>
      <c r="H24" s="4">
        <v>52433.76961697742</v>
      </c>
      <c r="I24" s="4">
        <v>58290.38374001078</v>
      </c>
      <c r="J24" s="4">
        <v>64490.29889697366</v>
      </c>
      <c r="K24" s="4">
        <v>70989.15080718763</v>
      </c>
      <c r="L24" s="4">
        <v>77731.22607626859</v>
      </c>
      <c r="M24" s="4">
        <v>84650.95888388815</v>
      </c>
      <c r="N24" s="4">
        <v>91675.23661302237</v>
      </c>
      <c r="O24" s="4">
        <v>98726.3675353499</v>
      </c>
      <c r="P24" s="4">
        <v>105725.4672332358</v>
      </c>
      <c r="Q24" s="4">
        <v>112595.9561366692</v>
      </c>
      <c r="R24" s="4">
        <v>119266.8430903658</v>
      </c>
      <c r="S24" s="4">
        <v>125675.5033475271</v>
      </c>
      <c r="T24" s="4">
        <v>131769.7359816602</v>
      </c>
      <c r="U24" s="4">
        <v>137508.9881808741</v>
      </c>
      <c r="V24" s="4">
        <v>142864.7409280002</v>
      </c>
      <c r="W24" s="4">
        <v>147820.1427694968</v>
      </c>
      <c r="X24" s="4">
        <v>152369.042738363</v>
      </c>
      <c r="Y24" s="4">
        <v>156514.6052393933</v>
      </c>
      <c r="Z24" s="4">
        <v>160267.6914195687</v>
      </c>
      <c r="AA24" s="4">
        <v>163645.1706565322</v>
      </c>
      <c r="AB24" s="4">
        <v>166668.2915733402</v>
      </c>
      <c r="AC24" s="4">
        <v>169361.2030836297</v>
      </c>
      <c r="AD24" s="4">
        <v>171749.6789671908</v>
      </c>
      <c r="AE24" s="4">
        <v>173860.0684036169</v>
      </c>
      <c r="AF24" s="4">
        <v>175718.4714765483</v>
      </c>
      <c r="AG24" s="4">
        <v>177350.1229229879</v>
      </c>
      <c r="AH24" s="4">
        <v>178778.958330183</v>
      </c>
      <c r="AI24" s="4">
        <v>180027.3331079174</v>
      </c>
      <c r="AJ24" s="4">
        <v>181115.8643633579</v>
      </c>
      <c r="AK24" s="4">
        <v>182063.3679349849</v>
      </c>
      <c r="AL24" s="4">
        <v>182886.8662387242</v>
      </c>
      <c r="AM24" s="4">
        <v>183601.6464750936</v>
      </c>
      <c r="AN24" s="4">
        <v>184221.3526333249</v>
      </c>
      <c r="AO24" s="4">
        <v>184758.0983057698</v>
      </c>
      <c r="AP24" s="4">
        <v>185222.5904424736</v>
      </c>
      <c r="AQ24" s="4">
        <v>185624.256781898</v>
      </c>
      <c r="AR24" s="4">
        <v>185971.3718023156</v>
      </c>
      <c r="AS24" s="4">
        <v>186271.1776967917</v>
      </c>
      <c r="AT24" s="4">
        <v>186529.9981457758</v>
      </c>
      <c r="AU24" s="4">
        <v>186753.3436113347</v>
      </c>
      <c r="AV24" s="4">
        <v>186946.0075685692</v>
      </c>
      <c r="AW24" s="4">
        <v>187112.1535782049</v>
      </c>
      <c r="AX24" s="4">
        <v>187255.3934367617</v>
      </c>
      <c r="AY24" s="4">
        <v>187378.8568556274</v>
      </c>
      <c r="AZ24" s="4">
        <v>187485.2532486604</v>
      </c>
      <c r="BA24" s="4">
        <v>187576.9262737466</v>
      </c>
      <c r="BB24" s="4">
        <v>187655.9017955892</v>
      </c>
      <c r="BC24" s="4">
        <v>187723.9299289421</v>
      </c>
      <c r="BD24" s="4">
        <v>187782.5217938869</v>
      </c>
      <c r="BE24" s="4">
        <v>187832.9815752239</v>
      </c>
      <c r="BF24" s="4">
        <v>187876.4344320216</v>
      </c>
      <c r="BG24" s="4">
        <v>187913.8507546707</v>
      </c>
      <c r="BH24" s="4">
        <v>187946.0672180117</v>
      </c>
      <c r="BI24" s="4">
        <v>187973.8050319621</v>
      </c>
      <c r="BJ24" s="4">
        <v>187997.685746606</v>
      </c>
      <c r="BK24" s="4">
        <v>188018.2449275403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>
      <c r="A25" t="s">
        <v>57</v>
      </c>
      <c r="B25" s="4">
        <v>58512.48883419391</v>
      </c>
      <c r="C25" s="4">
        <v>66515.92192514996</v>
      </c>
      <c r="D25" s="4">
        <v>75391.71567023486</v>
      </c>
      <c r="E25" s="4">
        <v>85174.10626803893</v>
      </c>
      <c r="F25" s="4">
        <v>95882.28401810223</v>
      </c>
      <c r="G25" s="4">
        <v>107516.5543857827</v>
      </c>
      <c r="H25" s="4">
        <v>120054.7795133507</v>
      </c>
      <c r="I25" s="4">
        <v>133449.4948133102</v>
      </c>
      <c r="J25" s="4">
        <v>147626.1275374504</v>
      </c>
      <c r="K25" s="4">
        <v>162482.718203438</v>
      </c>
      <c r="L25" s="4">
        <v>177891.4475478048</v>
      </c>
      <c r="M25" s="4">
        <v>193702.1006187513</v>
      </c>
      <c r="N25" s="4">
        <v>209747.3731587882</v>
      </c>
      <c r="O25" s="4">
        <v>225849.6790772706</v>
      </c>
      <c r="P25" s="4">
        <v>241828.8988077544</v>
      </c>
      <c r="Q25" s="4">
        <v>257510.3637331572</v>
      </c>
      <c r="R25" s="4">
        <v>272732.3347526932</v>
      </c>
      <c r="S25" s="4">
        <v>287352.3121848124</v>
      </c>
      <c r="T25" s="4">
        <v>301251.6910544134</v>
      </c>
      <c r="U25" s="4">
        <v>314338.5106587613</v>
      </c>
      <c r="V25" s="4">
        <v>326548.2914228095</v>
      </c>
      <c r="W25" s="4">
        <v>337843.1613745947</v>
      </c>
      <c r="X25" s="4">
        <v>348209.6198361552</v>
      </c>
      <c r="Y25" s="4">
        <v>357655.3566589226</v>
      </c>
      <c r="Z25" s="4">
        <v>366205.5477908807</v>
      </c>
      <c r="AA25" s="4">
        <v>373898.9992798282</v>
      </c>
      <c r="AB25" s="4">
        <v>380784.4331858728</v>
      </c>
      <c r="AC25" s="4">
        <v>386917.1199802366</v>
      </c>
      <c r="AD25" s="4">
        <v>392355.9777377207</v>
      </c>
      <c r="AE25" s="4">
        <v>397161.1878580103</v>
      </c>
      <c r="AF25" s="4">
        <v>401392.3240060686</v>
      </c>
      <c r="AG25" s="4">
        <v>405106.9554160847</v>
      </c>
      <c r="AH25" s="4">
        <v>408359.6653090746</v>
      </c>
      <c r="AI25" s="4">
        <v>411201.4165650022</v>
      </c>
      <c r="AJ25" s="4">
        <v>413679.1964921345</v>
      </c>
      <c r="AK25" s="4">
        <v>415835.8774938001</v>
      </c>
      <c r="AL25" s="4">
        <v>417710.2382346716</v>
      </c>
      <c r="AM25" s="4">
        <v>419337.0988163964</v>
      </c>
      <c r="AN25" s="4">
        <v>420747.5323392277</v>
      </c>
      <c r="AO25" s="4">
        <v>421969.1233739005</v>
      </c>
      <c r="AP25" s="4">
        <v>423026.250958311</v>
      </c>
      <c r="AQ25" s="4">
        <v>423940.3796574103</v>
      </c>
      <c r="AR25" s="4">
        <v>424730.3470141342</v>
      </c>
      <c r="AS25" s="4">
        <v>425412.6394837509</v>
      </c>
      <c r="AT25" s="4">
        <v>426001.651827667</v>
      </c>
      <c r="AU25" s="4">
        <v>426509.9270966552</v>
      </c>
      <c r="AV25" s="4">
        <v>426948.3759002496</v>
      </c>
      <c r="AW25" s="4">
        <v>427326.474764898</v>
      </c>
      <c r="AX25" s="4">
        <v>427652.4441352583</v>
      </c>
      <c r="AY25" s="4">
        <v>427933.4070583971</v>
      </c>
      <c r="AZ25" s="4">
        <v>428175.5298796555</v>
      </c>
      <c r="BA25" s="4">
        <v>428384.146426386</v>
      </c>
      <c r="BB25" s="4">
        <v>428563.8672037109</v>
      </c>
      <c r="BC25" s="4">
        <v>428718.6751067095</v>
      </c>
      <c r="BD25" s="4">
        <v>428852.0090895621</v>
      </c>
      <c r="BE25" s="4">
        <v>428966.8371414231</v>
      </c>
      <c r="BF25" s="4">
        <v>429065.7198134434</v>
      </c>
      <c r="BG25" s="4">
        <v>429150.8654300881</v>
      </c>
      <c r="BH25" s="4">
        <v>429224.1780065525</v>
      </c>
      <c r="BI25" s="4">
        <v>429287.298786532</v>
      </c>
      <c r="BJ25" s="4">
        <v>429341.642213236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spans="1:85">
      <c r="A26" t="s">
        <v>58</v>
      </c>
      <c r="B26" s="4">
        <v>58426.26096443854</v>
      </c>
      <c r="C26" s="4">
        <v>66435.21823191232</v>
      </c>
      <c r="D26" s="4">
        <v>75322.02407669483</v>
      </c>
      <c r="E26" s="4">
        <v>85122.5091246251</v>
      </c>
      <c r="F26" s="4">
        <v>95857.66241481288</v>
      </c>
      <c r="G26" s="4">
        <v>107529.7427522197</v>
      </c>
      <c r="H26" s="4">
        <v>120118.639331176</v>
      </c>
      <c r="I26" s="4">
        <v>133578.8751488742</v>
      </c>
      <c r="J26" s="4">
        <v>147837.6838413301</v>
      </c>
      <c r="K26" s="4">
        <v>162794.5705588673</v>
      </c>
      <c r="L26" s="4">
        <v>178322.6753557438</v>
      </c>
      <c r="M26" s="4">
        <v>194272.091132609</v>
      </c>
      <c r="N26" s="4">
        <v>210475.0632562453</v>
      </c>
      <c r="O26" s="4">
        <v>226752.748948355</v>
      </c>
      <c r="P26" s="4">
        <v>242922.9884568008</v>
      </c>
      <c r="Q26" s="4">
        <v>258808.3850686585</v>
      </c>
      <c r="R26" s="4">
        <v>274243.9425206566</v>
      </c>
      <c r="S26" s="4">
        <v>289083.5777025074</v>
      </c>
      <c r="T26" s="4">
        <v>303204.9974917092</v>
      </c>
      <c r="U26" s="4">
        <v>316512.6624888366</v>
      </c>
      <c r="V26" s="4">
        <v>328938.8083412549</v>
      </c>
      <c r="W26" s="4">
        <v>340442.711749826</v>
      </c>
      <c r="X26" s="4">
        <v>351008.541895761</v>
      </c>
      <c r="Y26" s="4">
        <v>360642.2165401885</v>
      </c>
      <c r="Z26" s="4">
        <v>369367.6903879572</v>
      </c>
      <c r="AA26" s="4">
        <v>377223.0580541793</v>
      </c>
      <c r="AB26" s="4">
        <v>384256.7764333948</v>
      </c>
      <c r="AC26" s="4">
        <v>390524.2216643444</v>
      </c>
      <c r="AD26" s="4">
        <v>396084.7097893493</v>
      </c>
      <c r="AE26" s="4">
        <v>400999.0373408168</v>
      </c>
      <c r="AF26" s="4">
        <v>405327.5427636403</v>
      </c>
      <c r="AG26" s="4">
        <v>409128.6520711364</v>
      </c>
      <c r="AH26" s="4">
        <v>412457.8502191783</v>
      </c>
      <c r="AI26" s="4">
        <v>415367.0100169057</v>
      </c>
      <c r="AJ26" s="4">
        <v>417904.0094434901</v>
      </c>
      <c r="AK26" s="4">
        <v>420112.5728673121</v>
      </c>
      <c r="AL26" s="4">
        <v>422032.279364909</v>
      </c>
      <c r="AM26" s="4">
        <v>423698.6902933038</v>
      </c>
      <c r="AN26" s="4">
        <v>425143.5572708063</v>
      </c>
      <c r="AO26" s="4">
        <v>426395.0800436349</v>
      </c>
      <c r="AP26" s="4">
        <v>427478.1909899714</v>
      </c>
      <c r="AQ26" s="4">
        <v>428414.8491114266</v>
      </c>
      <c r="AR26" s="4">
        <v>429224.3313064307</v>
      </c>
      <c r="AS26" s="4">
        <v>429923.5126163272</v>
      </c>
      <c r="AT26" s="4">
        <v>430527.130126571</v>
      </c>
      <c r="AU26" s="4">
        <v>431048.0274453273</v>
      </c>
      <c r="AV26" s="4">
        <v>431497.3783153337</v>
      </c>
      <c r="AW26" s="4">
        <v>431884.8890714074</v>
      </c>
      <c r="AX26" s="4">
        <v>432218.980445354</v>
      </c>
      <c r="AY26" s="4">
        <v>432506.9497326127</v>
      </c>
      <c r="AZ26" s="4">
        <v>432755.1146431235</v>
      </c>
      <c r="BA26" s="4">
        <v>432968.940319351</v>
      </c>
      <c r="BB26" s="4">
        <v>433153.1510607927</v>
      </c>
      <c r="BC26" s="4">
        <v>433311.8282796213</v>
      </c>
      <c r="BD26" s="4">
        <v>433448.4961509142</v>
      </c>
      <c r="BE26" s="4">
        <v>433566.1963311314</v>
      </c>
      <c r="BF26" s="4">
        <v>433667.553012991</v>
      </c>
      <c r="BG26" s="4">
        <v>433754.8294726888</v>
      </c>
      <c r="BH26" s="4">
        <v>433829.9771526838</v>
      </c>
      <c r="BI26" s="4">
        <v>433894.6782140864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spans="1:85">
      <c r="A27" t="s">
        <v>59</v>
      </c>
      <c r="B27" s="4">
        <v>35969.30201885722</v>
      </c>
      <c r="C27" s="4">
        <v>40922.99444955477</v>
      </c>
      <c r="D27" s="4">
        <v>46426.20372314406</v>
      </c>
      <c r="E27" s="4">
        <v>52503.21985754534</v>
      </c>
      <c r="F27" s="4">
        <v>59169.45473435916</v>
      </c>
      <c r="G27" s="4">
        <v>66428.97744681392</v>
      </c>
      <c r="H27" s="4">
        <v>74272.16120679204</v>
      </c>
      <c r="I27" s="4">
        <v>82673.6825206573</v>
      </c>
      <c r="J27" s="4">
        <v>91591.1426650518</v>
      </c>
      <c r="K27" s="4">
        <v>100964.5772550915</v>
      </c>
      <c r="L27" s="4">
        <v>110717.071278371</v>
      </c>
      <c r="M27" s="4">
        <v>120756.6009944658</v>
      </c>
      <c r="N27" s="4">
        <v>130979.0880776461</v>
      </c>
      <c r="O27" s="4">
        <v>141272.4947819202</v>
      </c>
      <c r="P27" s="4">
        <v>151521.6403439562</v>
      </c>
      <c r="Q27" s="4">
        <v>161613.3093480553</v>
      </c>
      <c r="R27" s="4">
        <v>171441.1770569801</v>
      </c>
      <c r="S27" s="4">
        <v>180910.1054661442</v>
      </c>
      <c r="T27" s="4">
        <v>189939.4603100069</v>
      </c>
      <c r="U27" s="4">
        <v>198465.241418445</v>
      </c>
      <c r="V27" s="4">
        <v>206440.9763253964</v>
      </c>
      <c r="W27" s="4">
        <v>213837.4699808462</v>
      </c>
      <c r="X27" s="4">
        <v>220641.6098080905</v>
      </c>
      <c r="Y27" s="4">
        <v>226854.4848638984</v>
      </c>
      <c r="Z27" s="4">
        <v>232489.0916068508</v>
      </c>
      <c r="AA27" s="4">
        <v>237567.8760868335</v>
      </c>
      <c r="AB27" s="4">
        <v>242120.3164339594</v>
      </c>
      <c r="AC27" s="4">
        <v>246180.6935104487</v>
      </c>
      <c r="AD27" s="4">
        <v>249786.1420602172</v>
      </c>
      <c r="AE27" s="4">
        <v>252975.0265604226</v>
      </c>
      <c r="AF27" s="4">
        <v>255785.6486213469</v>
      </c>
      <c r="AG27" s="4">
        <v>258255.2668126331</v>
      </c>
      <c r="AH27" s="4">
        <v>260419.3940620404</v>
      </c>
      <c r="AI27" s="4">
        <v>262311.3302481566</v>
      </c>
      <c r="AJ27" s="4">
        <v>263961.8860453066</v>
      </c>
      <c r="AK27" s="4">
        <v>265399.256421319</v>
      </c>
      <c r="AL27" s="4">
        <v>266649.0067657481</v>
      </c>
      <c r="AM27" s="4">
        <v>267734.1402004313</v>
      </c>
      <c r="AN27" s="4">
        <v>268675.2203571082</v>
      </c>
      <c r="AO27" s="4">
        <v>269490.5292836279</v>
      </c>
      <c r="AP27" s="4">
        <v>270196.2448877934</v>
      </c>
      <c r="AQ27" s="4">
        <v>270806.6263390639</v>
      </c>
      <c r="AR27" s="4">
        <v>271334.1991214794</v>
      </c>
      <c r="AS27" s="4">
        <v>271789.9340248841</v>
      </c>
      <c r="AT27" s="4">
        <v>272183.4163634799</v>
      </c>
      <c r="AU27" s="4">
        <v>272523.0032174905</v>
      </c>
      <c r="AV27" s="4">
        <v>272815.9675987837</v>
      </c>
      <c r="AW27" s="4">
        <v>273068.6292287906</v>
      </c>
      <c r="AX27" s="4">
        <v>273286.4721590769</v>
      </c>
      <c r="AY27" s="4">
        <v>273474.2498210719</v>
      </c>
      <c r="AZ27" s="4">
        <v>273636.0783097661</v>
      </c>
      <c r="BA27" s="4">
        <v>273775.5188244114</v>
      </c>
      <c r="BB27" s="4">
        <v>273895.6502365897</v>
      </c>
      <c r="BC27" s="4">
        <v>273999.1327545766</v>
      </c>
      <c r="BD27" s="4">
        <v>274088.2636192462</v>
      </c>
      <c r="BE27" s="4">
        <v>274165.0257129523</v>
      </c>
      <c r="BF27" s="4">
        <v>274231.1298976102</v>
      </c>
      <c r="BG27" s="4">
        <v>274288.0518277503</v>
      </c>
      <c r="BH27" s="4">
        <v>274337.0639128502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spans="1:85">
      <c r="A28" t="s">
        <v>60</v>
      </c>
      <c r="B28" s="4">
        <v>99139.95702116622</v>
      </c>
      <c r="C28" s="4">
        <v>111838.4860914247</v>
      </c>
      <c r="D28" s="4">
        <v>125695.8799789908</v>
      </c>
      <c r="E28" s="4">
        <v>140701.1477532784</v>
      </c>
      <c r="F28" s="4">
        <v>156813.6255050392</v>
      </c>
      <c r="G28" s="4">
        <v>173959.8954236382</v>
      </c>
      <c r="H28" s="4">
        <v>192032.3014407264</v>
      </c>
      <c r="I28" s="4">
        <v>210889.5213543092</v>
      </c>
      <c r="J28" s="4">
        <v>230359.493084192</v>
      </c>
      <c r="K28" s="4">
        <v>250244.7458270065</v>
      </c>
      <c r="L28" s="4">
        <v>270329.8871529271</v>
      </c>
      <c r="M28" s="4">
        <v>290390.6964882842</v>
      </c>
      <c r="N28" s="4">
        <v>310204.0348999412</v>
      </c>
      <c r="O28" s="4">
        <v>329557.6539949857</v>
      </c>
      <c r="P28" s="4">
        <v>348259.0026270784</v>
      </c>
      <c r="Q28" s="4">
        <v>366142.2852196692</v>
      </c>
      <c r="R28" s="4">
        <v>383073.2840622983</v>
      </c>
      <c r="S28" s="4">
        <v>398951.7634282206</v>
      </c>
      <c r="T28" s="4">
        <v>413711.5655054781</v>
      </c>
      <c r="U28" s="4">
        <v>427318.7386257626</v>
      </c>
      <c r="V28" s="4">
        <v>439768.180406699</v>
      </c>
      <c r="W28" s="4">
        <v>451079.3286413003</v>
      </c>
      <c r="X28" s="4">
        <v>461291.4056789701</v>
      </c>
      <c r="Y28" s="4">
        <v>470458.6421767589</v>
      </c>
      <c r="Z28" s="4">
        <v>478645.7998075879</v>
      </c>
      <c r="AA28" s="4">
        <v>485924.2021508704</v>
      </c>
      <c r="AB28" s="4">
        <v>492368.3840846726</v>
      </c>
      <c r="AC28" s="4">
        <v>498053.3909274796</v>
      </c>
      <c r="AD28" s="4">
        <v>503052.7018430421</v>
      </c>
      <c r="AE28" s="4">
        <v>507436.7161362188</v>
      </c>
      <c r="AF28" s="4">
        <v>511271.7223900191</v>
      </c>
      <c r="AG28" s="4">
        <v>514619.2645560918</v>
      </c>
      <c r="AH28" s="4">
        <v>517535.8219423859</v>
      </c>
      <c r="AI28" s="4">
        <v>520072.7280526276</v>
      </c>
      <c r="AJ28" s="4">
        <v>522276.2637747226</v>
      </c>
      <c r="AK28" s="4">
        <v>524187.8716491561</v>
      </c>
      <c r="AL28" s="4">
        <v>525844.4487105514</v>
      </c>
      <c r="AM28" s="4">
        <v>527278.6850378049</v>
      </c>
      <c r="AN28" s="4">
        <v>528519.4233851936</v>
      </c>
      <c r="AO28" s="4">
        <v>529592.0220485282</v>
      </c>
      <c r="AP28" s="4">
        <v>530518.7085359546</v>
      </c>
      <c r="AQ28" s="4">
        <v>531318.9158226079</v>
      </c>
      <c r="AR28" s="4">
        <v>532009.5961587357</v>
      </c>
      <c r="AS28" s="4">
        <v>532605.5097579686</v>
      </c>
      <c r="AT28" s="4">
        <v>533119.487386247</v>
      </c>
      <c r="AU28" s="4">
        <v>533562.6670499642</v>
      </c>
      <c r="AV28" s="4">
        <v>533944.7057672451</v>
      </c>
      <c r="AW28" s="4">
        <v>534273.9678986936</v>
      </c>
      <c r="AX28" s="4">
        <v>534557.6917923832</v>
      </c>
      <c r="AY28" s="4">
        <v>534802.1366236471</v>
      </c>
      <c r="AZ28" s="4">
        <v>535012.7113300464</v>
      </c>
      <c r="BA28" s="4">
        <v>535194.0874908097</v>
      </c>
      <c r="BB28" s="4">
        <v>535350.297903845</v>
      </c>
      <c r="BC28" s="4">
        <v>535484.8224908405</v>
      </c>
      <c r="BD28" s="4">
        <v>535600.663025246</v>
      </c>
      <c r="BE28" s="4">
        <v>535700.4080382641</v>
      </c>
      <c r="BF28" s="4">
        <v>535786.2891205489</v>
      </c>
      <c r="BG28" s="4">
        <v>535860.2297060619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spans="1:85">
      <c r="A29" t="s">
        <v>61</v>
      </c>
      <c r="B29" s="4">
        <v>106008.9155407218</v>
      </c>
      <c r="C29" s="4">
        <v>120271.7122288229</v>
      </c>
      <c r="D29" s="4">
        <v>136023.5911105277</v>
      </c>
      <c r="E29" s="4">
        <v>153305.0839185652</v>
      </c>
      <c r="F29" s="4">
        <v>172127.3899210893</v>
      </c>
      <c r="G29" s="4">
        <v>192466.2539896763</v>
      </c>
      <c r="H29" s="4">
        <v>214256.7463726806</v>
      </c>
      <c r="I29" s="4">
        <v>237389.6446552509</v>
      </c>
      <c r="J29" s="4">
        <v>261710.1093777241</v>
      </c>
      <c r="K29" s="4">
        <v>287019.2214367627</v>
      </c>
      <c r="L29" s="4">
        <v>313078.7024763585</v>
      </c>
      <c r="M29" s="4">
        <v>339618.7878776277</v>
      </c>
      <c r="N29" s="4">
        <v>366348.8156731674</v>
      </c>
      <c r="O29" s="4">
        <v>392969.7077216271</v>
      </c>
      <c r="P29" s="4">
        <v>419187.2324699605</v>
      </c>
      <c r="Q29" s="4">
        <v>444724.8162772987</v>
      </c>
      <c r="R29" s="4">
        <v>469334.7412070459</v>
      </c>
      <c r="S29" s="4">
        <v>492806.8147412691</v>
      </c>
      <c r="T29" s="4">
        <v>514973.964479193</v>
      </c>
      <c r="U29" s="4">
        <v>535714.6199075903</v>
      </c>
      <c r="V29" s="4">
        <v>554952.1159197226</v>
      </c>
      <c r="W29" s="4">
        <v>572651.6312469968</v>
      </c>
      <c r="X29" s="4">
        <v>588815.3319463677</v>
      </c>
      <c r="Y29" s="4">
        <v>603476.4279172131</v>
      </c>
      <c r="Z29" s="4">
        <v>616692.793018607</v>
      </c>
      <c r="AA29" s="4">
        <v>628540.6809043543</v>
      </c>
      <c r="AB29" s="4">
        <v>639108.9234480466</v>
      </c>
      <c r="AC29" s="4">
        <v>648493.8542014499</v>
      </c>
      <c r="AD29" s="4">
        <v>656795.0738564146</v>
      </c>
      <c r="AE29" s="4">
        <v>664112.0770886886</v>
      </c>
      <c r="AF29" s="4">
        <v>670541.6921683332</v>
      </c>
      <c r="AG29" s="4">
        <v>676176.2433972649</v>
      </c>
      <c r="AH29" s="4">
        <v>681102.3265353997</v>
      </c>
      <c r="AI29" s="4">
        <v>685400.0830702272</v>
      </c>
      <c r="AJ29" s="4">
        <v>689142.865115576</v>
      </c>
      <c r="AK29" s="4">
        <v>692397.1945325405</v>
      </c>
      <c r="AL29" s="4">
        <v>695222.9343148193</v>
      </c>
      <c r="AM29" s="4">
        <v>697673.6051753325</v>
      </c>
      <c r="AN29" s="4">
        <v>699796.7942603182</v>
      </c>
      <c r="AO29" s="4">
        <v>701634.6152813829</v>
      </c>
      <c r="AP29" s="4">
        <v>703224.1898103793</v>
      </c>
      <c r="AQ29" s="4">
        <v>704598.1280180812</v>
      </c>
      <c r="AR29" s="4">
        <v>705784.9939054665</v>
      </c>
      <c r="AS29" s="4">
        <v>706809.7453027139</v>
      </c>
      <c r="AT29" s="4">
        <v>707694.1428464956</v>
      </c>
      <c r="AU29" s="4">
        <v>708457.125033955</v>
      </c>
      <c r="AV29" s="4">
        <v>709115.148510928</v>
      </c>
      <c r="AW29" s="4">
        <v>709682.4941703049</v>
      </c>
      <c r="AX29" s="4">
        <v>710171.5405694286</v>
      </c>
      <c r="AY29" s="4">
        <v>710593.0067482615</v>
      </c>
      <c r="AZ29" s="4">
        <v>710956.1668413408</v>
      </c>
      <c r="BA29" s="4">
        <v>711269.0390024204</v>
      </c>
      <c r="BB29" s="4">
        <v>711538.5511589804</v>
      </c>
      <c r="BC29" s="4">
        <v>711770.6860276103</v>
      </c>
      <c r="BD29" s="4">
        <v>711970.6076823052</v>
      </c>
      <c r="BE29" s="4">
        <v>712142.7717987777</v>
      </c>
      <c r="BF29" s="4">
        <v>712291.0215150747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spans="1:85">
      <c r="A30" t="s">
        <v>62</v>
      </c>
      <c r="B30" s="4">
        <v>50160.97333889252</v>
      </c>
      <c r="C30" s="4">
        <v>56571.36925741071</v>
      </c>
      <c r="D30" s="4">
        <v>63563.01137880918</v>
      </c>
      <c r="E30" s="4">
        <v>71129.37717042703</v>
      </c>
      <c r="F30" s="4">
        <v>79248.9298319209</v>
      </c>
      <c r="G30" s="4">
        <v>87883.62228283468</v>
      </c>
      <c r="H30" s="4">
        <v>96978.22022932314</v>
      </c>
      <c r="I30" s="4">
        <v>106460.6706607706</v>
      </c>
      <c r="J30" s="4">
        <v>116243.6574065991</v>
      </c>
      <c r="K30" s="4">
        <v>126227.3589783539</v>
      </c>
      <c r="L30" s="4">
        <v>136303.2726044617</v>
      </c>
      <c r="M30" s="4">
        <v>146358.8187571763</v>
      </c>
      <c r="N30" s="4">
        <v>156282.3231566228</v>
      </c>
      <c r="O30" s="4">
        <v>165967.9143616804</v>
      </c>
      <c r="P30" s="4">
        <v>175319.8883390856</v>
      </c>
      <c r="Q30" s="4">
        <v>184256.1737139791</v>
      </c>
      <c r="R30" s="4">
        <v>192710.6637947993</v>
      </c>
      <c r="S30" s="4">
        <v>200634.3351727248</v>
      </c>
      <c r="T30" s="4">
        <v>207995.2176768413</v>
      </c>
      <c r="U30" s="4">
        <v>214777.3931644645</v>
      </c>
      <c r="V30" s="4">
        <v>220979.268506406</v>
      </c>
      <c r="W30" s="4">
        <v>226611.3901800648</v>
      </c>
      <c r="X30" s="4">
        <v>231694.0519401106</v>
      </c>
      <c r="Y30" s="4">
        <v>236254.9055928005</v>
      </c>
      <c r="Z30" s="4">
        <v>240326.7311059806</v>
      </c>
      <c r="AA30" s="4">
        <v>243945.4671376242</v>
      </c>
      <c r="AB30" s="4">
        <v>247148.5540809142</v>
      </c>
      <c r="AC30" s="4">
        <v>249973.6028655923</v>
      </c>
      <c r="AD30" s="4">
        <v>252457.3751004566</v>
      </c>
      <c r="AE30" s="4">
        <v>254635.0428374161</v>
      </c>
      <c r="AF30" s="4">
        <v>256539.6874099643</v>
      </c>
      <c r="AG30" s="4">
        <v>258201.9942522198</v>
      </c>
      <c r="AH30" s="4">
        <v>259650.1022661743</v>
      </c>
      <c r="AI30" s="4">
        <v>260909.5704535167</v>
      </c>
      <c r="AJ30" s="4">
        <v>262003.4298670826</v>
      </c>
      <c r="AK30" s="4">
        <v>262952.2945698708</v>
      </c>
      <c r="AL30" s="4">
        <v>263774.5106546331</v>
      </c>
      <c r="AM30" s="4">
        <v>264486.3271649126</v>
      </c>
      <c r="AN30" s="4">
        <v>265102.0768363969</v>
      </c>
      <c r="AO30" s="4">
        <v>265634.3579269763</v>
      </c>
      <c r="AP30" s="4">
        <v>266094.2110731998</v>
      </c>
      <c r="AQ30" s="4">
        <v>266491.2871818827</v>
      </c>
      <c r="AR30" s="4">
        <v>266834.0039323918</v>
      </c>
      <c r="AS30" s="4">
        <v>267129.6896204737</v>
      </c>
      <c r="AT30" s="4">
        <v>267384.7139029423</v>
      </c>
      <c r="AU30" s="4">
        <v>267604.605577208</v>
      </c>
      <c r="AV30" s="4">
        <v>267794.1579113317</v>
      </c>
      <c r="AW30" s="4">
        <v>267957.5222782808</v>
      </c>
      <c r="AX30" s="4">
        <v>268098.2909812376</v>
      </c>
      <c r="AY30" s="4">
        <v>268219.5702153475</v>
      </c>
      <c r="AZ30" s="4">
        <v>268324.0441181333</v>
      </c>
      <c r="BA30" s="4">
        <v>268414.0308331716</v>
      </c>
      <c r="BB30" s="4">
        <v>268491.5314621414</v>
      </c>
      <c r="BC30" s="4">
        <v>268558.2727182126</v>
      </c>
      <c r="BD30" s="4">
        <v>268615.7440253955</v>
      </c>
      <c r="BE30" s="4">
        <v>268665.2297384222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</row>
    <row r="31" spans="1:85">
      <c r="A31" t="s">
        <v>63</v>
      </c>
      <c r="B31" s="4">
        <v>76798.85264526689</v>
      </c>
      <c r="C31" s="4">
        <v>87234.23377848376</v>
      </c>
      <c r="D31" s="4">
        <v>98787.69959719696</v>
      </c>
      <c r="E31" s="4">
        <v>111497.749717308</v>
      </c>
      <c r="F31" s="4">
        <v>125382.4665657392</v>
      </c>
      <c r="G31" s="4">
        <v>140434.7092735914</v>
      </c>
      <c r="H31" s="4">
        <v>156617.7950646391</v>
      </c>
      <c r="I31" s="4">
        <v>173862.1851426648</v>
      </c>
      <c r="J31" s="4">
        <v>192063.7146789403</v>
      </c>
      <c r="K31" s="4">
        <v>211083.8491882661</v>
      </c>
      <c r="L31" s="4">
        <v>230752.2986086287</v>
      </c>
      <c r="M31" s="4">
        <v>250872.0809497798</v>
      </c>
      <c r="N31" s="4">
        <v>271226.828260752</v>
      </c>
      <c r="O31" s="4">
        <v>291589.8191680976</v>
      </c>
      <c r="P31" s="4">
        <v>311733.9658107509</v>
      </c>
      <c r="Q31" s="4">
        <v>331441.8349611142</v>
      </c>
      <c r="R31" s="4">
        <v>350514.7777407924</v>
      </c>
      <c r="S31" s="4">
        <v>368780.3808807614</v>
      </c>
      <c r="T31" s="4">
        <v>386097.70279593</v>
      </c>
      <c r="U31" s="4">
        <v>402360.0645847186</v>
      </c>
      <c r="V31" s="4">
        <v>417495.4677504278</v>
      </c>
      <c r="W31" s="4">
        <v>431464.955446613</v>
      </c>
      <c r="X31" s="4">
        <v>444259.3918449049</v>
      </c>
      <c r="Y31" s="4">
        <v>455895.1980143586</v>
      </c>
      <c r="Z31" s="4">
        <v>466409.5651254343</v>
      </c>
      <c r="AA31" s="4">
        <v>475855.590819585</v>
      </c>
      <c r="AB31" s="4">
        <v>484297.6791074292</v>
      </c>
      <c r="AC31" s="4">
        <v>491807.4316793498</v>
      </c>
      <c r="AD31" s="4">
        <v>498460.1558448283</v>
      </c>
      <c r="AE31" s="4">
        <v>504332.0309504682</v>
      </c>
      <c r="AF31" s="4">
        <v>509497.9143445464</v>
      </c>
      <c r="AG31" s="4">
        <v>514029.7287106572</v>
      </c>
      <c r="AH31" s="4">
        <v>517995.351405379</v>
      </c>
      <c r="AI31" s="4">
        <v>521457.9189113936</v>
      </c>
      <c r="AJ31" s="4">
        <v>524475.4613603019</v>
      </c>
      <c r="AK31" s="4">
        <v>527100.7896333289</v>
      </c>
      <c r="AL31" s="4">
        <v>529381.5680034658</v>
      </c>
      <c r="AM31" s="4">
        <v>531360.5166620085</v>
      </c>
      <c r="AN31" s="4">
        <v>533075.699507112</v>
      </c>
      <c r="AO31" s="4">
        <v>534560.8625394967</v>
      </c>
      <c r="AP31" s="4">
        <v>535845.7967770323</v>
      </c>
      <c r="AQ31" s="4">
        <v>536956.7066872201</v>
      </c>
      <c r="AR31" s="4">
        <v>537916.5708195504</v>
      </c>
      <c r="AS31" s="4">
        <v>538745.4857537547</v>
      </c>
      <c r="AT31" s="4">
        <v>539460.9878526296</v>
      </c>
      <c r="AU31" s="4">
        <v>540078.349809221</v>
      </c>
      <c r="AV31" s="4">
        <v>540610.8507830679</v>
      </c>
      <c r="AW31" s="4">
        <v>541070.020182044</v>
      </c>
      <c r="AX31" s="4">
        <v>541465.8559934066</v>
      </c>
      <c r="AY31" s="4">
        <v>541807.0191044536</v>
      </c>
      <c r="AZ31" s="4">
        <v>542101.0053626177</v>
      </c>
      <c r="BA31" s="4">
        <v>542354.2972714478</v>
      </c>
      <c r="BB31" s="4">
        <v>542572.497252073</v>
      </c>
      <c r="BC31" s="4">
        <v>542760.4443564789</v>
      </c>
      <c r="BD31" s="4">
        <v>542922.3162266446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>
      <c r="A32" t="s">
        <v>64</v>
      </c>
      <c r="B32" s="4">
        <v>40146.50358481325</v>
      </c>
      <c r="C32" s="4">
        <v>45596.23464188729</v>
      </c>
      <c r="D32" s="4">
        <v>51628.37795363843</v>
      </c>
      <c r="E32" s="4">
        <v>58262.57167538836</v>
      </c>
      <c r="F32" s="4">
        <v>65507.73311388602</v>
      </c>
      <c r="G32" s="4">
        <v>73359.56498917047</v>
      </c>
      <c r="H32" s="4">
        <v>81798.32549832186</v>
      </c>
      <c r="I32" s="4">
        <v>90787.13216823472</v>
      </c>
      <c r="J32" s="4">
        <v>100271.0797705999</v>
      </c>
      <c r="K32" s="4">
        <v>110177.4208725715</v>
      </c>
      <c r="L32" s="4">
        <v>120416.9770841248</v>
      </c>
      <c r="M32" s="4">
        <v>130886.8229051592</v>
      </c>
      <c r="N32" s="4">
        <v>141474.127758864</v>
      </c>
      <c r="O32" s="4">
        <v>152060.8818390029</v>
      </c>
      <c r="P32" s="4">
        <v>162529.0998254771</v>
      </c>
      <c r="Q32" s="4">
        <v>172766.022315771</v>
      </c>
      <c r="R32" s="4">
        <v>182668.8351794324</v>
      </c>
      <c r="S32" s="4">
        <v>192148.5018838908</v>
      </c>
      <c r="T32" s="4">
        <v>201132.4358211681</v>
      </c>
      <c r="U32" s="4">
        <v>209565.8997346349</v>
      </c>
      <c r="V32" s="4">
        <v>217412.1754897204</v>
      </c>
      <c r="W32" s="4">
        <v>224651.6732192289</v>
      </c>
      <c r="X32" s="4">
        <v>231280.2289305118</v>
      </c>
      <c r="Y32" s="4">
        <v>237306.8709286508</v>
      </c>
      <c r="Z32" s="4">
        <v>242751.3247882335</v>
      </c>
      <c r="AA32" s="4">
        <v>247641.4867041367</v>
      </c>
      <c r="AB32" s="4">
        <v>252011.039834673</v>
      </c>
      <c r="AC32" s="4">
        <v>255897.3298226896</v>
      </c>
      <c r="AD32" s="4">
        <v>259339.5626281076</v>
      </c>
      <c r="AE32" s="4">
        <v>262377.3449167767</v>
      </c>
      <c r="AF32" s="4">
        <v>265049.5561208302</v>
      </c>
      <c r="AG32" s="4">
        <v>267393.5213004423</v>
      </c>
      <c r="AH32" s="4">
        <v>269444.4432537549</v>
      </c>
      <c r="AI32" s="4">
        <v>271235.048649604</v>
      </c>
      <c r="AJ32" s="4">
        <v>272795.404071108</v>
      </c>
      <c r="AK32" s="4">
        <v>274152.8618732063</v>
      </c>
      <c r="AL32" s="4">
        <v>275332.1012310709</v>
      </c>
      <c r="AM32" s="4">
        <v>276355.2356771664</v>
      </c>
      <c r="AN32" s="4">
        <v>277241.9641460667</v>
      </c>
      <c r="AO32" s="4">
        <v>278009.7477020493</v>
      </c>
      <c r="AP32" s="4">
        <v>278673.9985480535</v>
      </c>
      <c r="AQ32" s="4">
        <v>279248.2715692353</v>
      </c>
      <c r="AR32" s="4">
        <v>279744.4515913991</v>
      </c>
      <c r="AS32" s="4">
        <v>280172.9318159451</v>
      </c>
      <c r="AT32" s="4">
        <v>280542.780626478</v>
      </c>
      <c r="AU32" s="4">
        <v>280861.8952463922</v>
      </c>
      <c r="AV32" s="4">
        <v>281137.1416523795</v>
      </c>
      <c r="AW32" s="4">
        <v>281374.4807949828</v>
      </c>
      <c r="AX32" s="4">
        <v>281579.0816102736</v>
      </c>
      <c r="AY32" s="4">
        <v>281755.421580283</v>
      </c>
      <c r="AZ32" s="4">
        <v>281907.3757566823</v>
      </c>
      <c r="BA32" s="4">
        <v>282038.2952356054</v>
      </c>
      <c r="BB32" s="4">
        <v>282151.0760867815</v>
      </c>
      <c r="BC32" s="4">
        <v>282248.219716366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spans="1:85">
      <c r="A33" t="s">
        <v>65</v>
      </c>
      <c r="B33" s="4">
        <v>32283.46059185033</v>
      </c>
      <c r="C33" s="4">
        <v>36771.25230632108</v>
      </c>
      <c r="D33" s="4">
        <v>41768.84560220018</v>
      </c>
      <c r="E33" s="4">
        <v>47302.21689229074</v>
      </c>
      <c r="F33" s="4">
        <v>53389.90376164824</v>
      </c>
      <c r="G33" s="4">
        <v>60040.67834753827</v>
      </c>
      <c r="H33" s="4">
        <v>67251.24223418014</v>
      </c>
      <c r="I33" s="4">
        <v>75004.15284471538</v>
      </c>
      <c r="J33" s="4">
        <v>83266.22892341351</v>
      </c>
      <c r="K33" s="4">
        <v>91987.69384571449</v>
      </c>
      <c r="L33" s="4">
        <v>101102.2884240467</v>
      </c>
      <c r="M33" s="4">
        <v>110528.5129336835</v>
      </c>
      <c r="N33" s="4">
        <v>120172.0436497467</v>
      </c>
      <c r="O33" s="4">
        <v>129929.2259667507</v>
      </c>
      <c r="P33" s="4">
        <v>139691.398190211</v>
      </c>
      <c r="Q33" s="4">
        <v>149349.6767895494</v>
      </c>
      <c r="R33" s="4">
        <v>158799.7623438512</v>
      </c>
      <c r="S33" s="4">
        <v>167946.3221548468</v>
      </c>
      <c r="T33" s="4">
        <v>176706.5713119552</v>
      </c>
      <c r="U33" s="4">
        <v>185012.793598747</v>
      </c>
      <c r="V33" s="4">
        <v>192813.6906086993</v>
      </c>
      <c r="W33" s="4">
        <v>200074.592213892</v>
      </c>
      <c r="X33" s="4">
        <v>206776.6793262309</v>
      </c>
      <c r="Y33" s="4">
        <v>212915.4459642881</v>
      </c>
      <c r="Z33" s="4">
        <v>218498.6586294639</v>
      </c>
      <c r="AA33" s="4">
        <v>223544.0628903249</v>
      </c>
      <c r="AB33" s="4">
        <v>228077.0513330754</v>
      </c>
      <c r="AC33" s="4">
        <v>232128.4565530314</v>
      </c>
      <c r="AD33" s="4">
        <v>235732.5789295923</v>
      </c>
      <c r="AE33" s="4">
        <v>238925.5096388033</v>
      </c>
      <c r="AF33" s="4">
        <v>241743.7692940356</v>
      </c>
      <c r="AG33" s="4">
        <v>244223.2533645989</v>
      </c>
      <c r="AH33" s="4">
        <v>246398.4566173726</v>
      </c>
      <c r="AI33" s="4">
        <v>248301.9385971796</v>
      </c>
      <c r="AJ33" s="4">
        <v>249963.988502929</v>
      </c>
      <c r="AK33" s="4">
        <v>251412.4486662747</v>
      </c>
      <c r="AL33" s="4">
        <v>252672.6594418125</v>
      </c>
      <c r="AM33" s="4">
        <v>253767.4933218455</v>
      </c>
      <c r="AN33" s="4">
        <v>254717.4515429855</v>
      </c>
      <c r="AO33" s="4">
        <v>255540.8017452414</v>
      </c>
      <c r="AP33" s="4">
        <v>256253.7400283563</v>
      </c>
      <c r="AQ33" s="4">
        <v>256870.5648635206</v>
      </c>
      <c r="AR33" s="4">
        <v>257403.8537227676</v>
      </c>
      <c r="AS33" s="4">
        <v>257864.6360187422</v>
      </c>
      <c r="AT33" s="4">
        <v>258262.5580783961</v>
      </c>
      <c r="AU33" s="4">
        <v>258606.0374953601</v>
      </c>
      <c r="AV33" s="4">
        <v>258902.4054082744</v>
      </c>
      <c r="AW33" s="4">
        <v>259158.0361204099</v>
      </c>
      <c r="AX33" s="4">
        <v>259378.4640829728</v>
      </c>
      <c r="AY33" s="4">
        <v>259568.4886721918</v>
      </c>
      <c r="AZ33" s="4">
        <v>259732.2674488216</v>
      </c>
      <c r="BA33" s="4">
        <v>259873.3987379071</v>
      </c>
      <c r="BB33" s="4">
        <v>259994.994437558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spans="1:85">
      <c r="A34" t="s">
        <v>66</v>
      </c>
      <c r="B34" s="4">
        <v>30230.17608885284</v>
      </c>
      <c r="C34" s="4">
        <v>34445.07198434067</v>
      </c>
      <c r="D34" s="4">
        <v>39142.38237163852</v>
      </c>
      <c r="E34" s="4">
        <v>44347.72519034279</v>
      </c>
      <c r="F34" s="4">
        <v>50079.92886040542</v>
      </c>
      <c r="G34" s="4">
        <v>56348.82309421235</v>
      </c>
      <c r="H34" s="4">
        <v>63153.02557483892</v>
      </c>
      <c r="I34" s="4">
        <v>70477.91841367865</v>
      </c>
      <c r="J34" s="4">
        <v>78294.04676068953</v>
      </c>
      <c r="K34" s="4">
        <v>86556.18690695368</v>
      </c>
      <c r="L34" s="4">
        <v>95203.31111760859</v>
      </c>
      <c r="M34" s="4">
        <v>104159.6139735684</v>
      </c>
      <c r="N34" s="4">
        <v>113336.6610437602</v>
      </c>
      <c r="O34" s="4">
        <v>122636.5867678791</v>
      </c>
      <c r="P34" s="4">
        <v>131956.1262256072</v>
      </c>
      <c r="Q34" s="4">
        <v>141191.1427690289</v>
      </c>
      <c r="R34" s="4">
        <v>150241.2369400419</v>
      </c>
      <c r="S34" s="4">
        <v>159014.0093055801</v>
      </c>
      <c r="T34" s="4">
        <v>167428.6038309581</v>
      </c>
      <c r="U34" s="4">
        <v>175418.2665945276</v>
      </c>
      <c r="V34" s="4">
        <v>182931.7929028469</v>
      </c>
      <c r="W34" s="4">
        <v>189933.8759082243</v>
      </c>
      <c r="X34" s="4">
        <v>196404.4869852463</v>
      </c>
      <c r="Y34" s="4">
        <v>202337.4967979756</v>
      </c>
      <c r="Z34" s="4">
        <v>207738.7814922525</v>
      </c>
      <c r="AA34" s="4">
        <v>212624.0554261059</v>
      </c>
      <c r="AB34" s="4">
        <v>217016.6407432846</v>
      </c>
      <c r="AC34" s="4">
        <v>220945.337213924</v>
      </c>
      <c r="AD34" s="4">
        <v>224442.5042289084</v>
      </c>
      <c r="AE34" s="4">
        <v>227542.4188387165</v>
      </c>
      <c r="AF34" s="4">
        <v>230279.9341027721</v>
      </c>
      <c r="AG34" s="4">
        <v>232689.4326422189</v>
      </c>
      <c r="AH34" s="4">
        <v>234804.050930333</v>
      </c>
      <c r="AI34" s="4">
        <v>236655.139037689</v>
      </c>
      <c r="AJ34" s="4">
        <v>238271.9162921695</v>
      </c>
      <c r="AK34" s="4">
        <v>239681.2836238722</v>
      </c>
      <c r="AL34" s="4">
        <v>240907.7565164334</v>
      </c>
      <c r="AM34" s="4">
        <v>241973.4871341559</v>
      </c>
      <c r="AN34" s="4">
        <v>242898.3493793416</v>
      </c>
      <c r="AO34" s="4">
        <v>243700.0657315797</v>
      </c>
      <c r="AP34" s="4">
        <v>244394.3593669905</v>
      </c>
      <c r="AQ34" s="4">
        <v>244995.1190752101</v>
      </c>
      <c r="AR34" s="4">
        <v>245514.5678350464</v>
      </c>
      <c r="AS34" s="4">
        <v>245963.4286023301</v>
      </c>
      <c r="AT34" s="4">
        <v>246351.0829727136</v>
      </c>
      <c r="AU34" s="4">
        <v>246685.719992627</v>
      </c>
      <c r="AV34" s="4">
        <v>246974.4735905768</v>
      </c>
      <c r="AW34" s="4">
        <v>247223.5479699633</v>
      </c>
      <c r="AX34" s="4">
        <v>247438.3309153189</v>
      </c>
      <c r="AY34" s="4">
        <v>247623.4953767087</v>
      </c>
      <c r="AZ34" s="4">
        <v>247783.0899613957</v>
      </c>
      <c r="BA34" s="4">
        <v>247920.6191170629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spans="1:85">
      <c r="A35" t="s">
        <v>67</v>
      </c>
      <c r="B35" s="4">
        <v>37706.86731440497</v>
      </c>
      <c r="C35" s="4">
        <v>42850.82817639774</v>
      </c>
      <c r="D35" s="4">
        <v>48551.64340767617</v>
      </c>
      <c r="E35" s="4">
        <v>54830.09534846578</v>
      </c>
      <c r="F35" s="4">
        <v>61697.13338908311</v>
      </c>
      <c r="G35" s="4">
        <v>69151.44492179326</v>
      </c>
      <c r="H35" s="4">
        <v>77177.23086795062</v>
      </c>
      <c r="I35" s="4">
        <v>85742.44017544818</v>
      </c>
      <c r="J35" s="4">
        <v>94797.73458836428</v>
      </c>
      <c r="K35" s="4">
        <v>104276.43360185</v>
      </c>
      <c r="L35" s="4">
        <v>114095.621730685</v>
      </c>
      <c r="M35" s="4">
        <v>124158.4868219319</v>
      </c>
      <c r="N35" s="4">
        <v>134357.8115744097</v>
      </c>
      <c r="O35" s="4">
        <v>144580.3843708285</v>
      </c>
      <c r="P35" s="4">
        <v>154711.960390895</v>
      </c>
      <c r="Q35" s="4">
        <v>164642.3190600504</v>
      </c>
      <c r="R35" s="4">
        <v>174269.9487327554</v>
      </c>
      <c r="S35" s="4">
        <v>183505.9476786818</v>
      </c>
      <c r="T35" s="4">
        <v>192276.8483738216</v>
      </c>
      <c r="U35" s="4">
        <v>200526.2234749224</v>
      </c>
      <c r="V35" s="4">
        <v>208215.0856515059</v>
      </c>
      <c r="W35" s="4">
        <v>215321.2224870867</v>
      </c>
      <c r="X35" s="4">
        <v>221837.6946621608</v>
      </c>
      <c r="Y35" s="4">
        <v>227770.7652729167</v>
      </c>
      <c r="Z35" s="4">
        <v>233137.525390449</v>
      </c>
      <c r="AA35" s="4">
        <v>237963.4472107772</v>
      </c>
      <c r="AB35" s="4">
        <v>242280.0448895991</v>
      </c>
      <c r="AC35" s="4">
        <v>246122.7666283549</v>
      </c>
      <c r="AD35" s="4">
        <v>249529.188827084</v>
      </c>
      <c r="AE35" s="4">
        <v>252537.539496018</v>
      </c>
      <c r="AF35" s="4">
        <v>255185.5457273449</v>
      </c>
      <c r="AG35" s="4">
        <v>257509.5786386128</v>
      </c>
      <c r="AH35" s="4">
        <v>259544.0572083793</v>
      </c>
      <c r="AI35" s="4">
        <v>261321.0676632593</v>
      </c>
      <c r="AJ35" s="4">
        <v>262870.1553547276</v>
      </c>
      <c r="AK35" s="4">
        <v>264218.24948562</v>
      </c>
      <c r="AL35" s="4">
        <v>265389.6861282404</v>
      </c>
      <c r="AM35" s="4">
        <v>266406.3006601354</v>
      </c>
      <c r="AN35" s="4">
        <v>267287.5663396238</v>
      </c>
      <c r="AO35" s="4">
        <v>268050.7608487065</v>
      </c>
      <c r="AP35" s="4">
        <v>268711.147051134</v>
      </c>
      <c r="AQ35" s="4">
        <v>269282.1578914801</v>
      </c>
      <c r="AR35" s="4">
        <v>269775.5783247437</v>
      </c>
      <c r="AS35" s="4">
        <v>270201.7194885076</v>
      </c>
      <c r="AT35" s="4">
        <v>270569.582103662</v>
      </c>
      <c r="AU35" s="4">
        <v>270887.0074109187</v>
      </c>
      <c r="AV35" s="4">
        <v>271160.8149083642</v>
      </c>
      <c r="AW35" s="4">
        <v>271396.9268289152</v>
      </c>
      <c r="AX35" s="4">
        <v>271600.4797522261</v>
      </c>
      <c r="AY35" s="4">
        <v>271775.924037669</v>
      </c>
      <c r="AZ35" s="4">
        <v>271927.1119367682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spans="1:85">
      <c r="A36" t="s">
        <v>68</v>
      </c>
      <c r="B36" s="4">
        <v>23067.35036630403</v>
      </c>
      <c r="C36" s="4">
        <v>26160.16655690561</v>
      </c>
      <c r="D36" s="4">
        <v>29572.93350926984</v>
      </c>
      <c r="E36" s="4">
        <v>33313.54695775494</v>
      </c>
      <c r="F36" s="4">
        <v>37383.44544927383</v>
      </c>
      <c r="G36" s="4">
        <v>41776.31898160621</v>
      </c>
      <c r="H36" s="4">
        <v>46477.03020402242</v>
      </c>
      <c r="I36" s="4">
        <v>51460.8989681152</v>
      </c>
      <c r="J36" s="4">
        <v>56693.49605287067</v>
      </c>
      <c r="K36" s="4">
        <v>62131.06191632763</v>
      </c>
      <c r="L36" s="4">
        <v>67721.61009071647</v>
      </c>
      <c r="M36" s="4">
        <v>73406.69728755539</v>
      </c>
      <c r="N36" s="4">
        <v>79123.754945045</v>
      </c>
      <c r="O36" s="4">
        <v>84808.79610586147</v>
      </c>
      <c r="P36" s="4">
        <v>90399.25424212591</v>
      </c>
      <c r="Q36" s="4">
        <v>95836.6899450437</v>
      </c>
      <c r="R36" s="4">
        <v>101069.1221253034</v>
      </c>
      <c r="S36" s="4">
        <v>106052.7976641403</v>
      </c>
      <c r="T36" s="4">
        <v>110753.294310255</v>
      </c>
      <c r="U36" s="4">
        <v>115145.9389503434</v>
      </c>
      <c r="V36" s="4">
        <v>119215.6009194389</v>
      </c>
      <c r="W36" s="4">
        <v>122955.9762347257</v>
      </c>
      <c r="X36" s="4">
        <v>126368.5085889955</v>
      </c>
      <c r="Y36" s="4">
        <v>129461.0978873597</v>
      </c>
      <c r="Z36" s="4">
        <v>132246.7326104489</v>
      </c>
      <c r="AA36" s="4">
        <v>134742.1557664524</v>
      </c>
      <c r="AB36" s="4">
        <v>136966.6428515666</v>
      </c>
      <c r="AC36" s="4">
        <v>138940.9397207938</v>
      </c>
      <c r="AD36" s="4">
        <v>140686.3821755169</v>
      </c>
      <c r="AE36" s="4">
        <v>142224.1990699772</v>
      </c>
      <c r="AF36" s="4">
        <v>143574.9870254055</v>
      </c>
      <c r="AG36" s="4">
        <v>144758.3366976301</v>
      </c>
      <c r="AH36" s="4">
        <v>145792.5868143796</v>
      </c>
      <c r="AI36" s="4">
        <v>146694.6816383032</v>
      </c>
      <c r="AJ36" s="4">
        <v>147480.1090003552</v>
      </c>
      <c r="AK36" s="4">
        <v>148162.8986854252</v>
      </c>
      <c r="AL36" s="4">
        <v>148755.6640782382</v>
      </c>
      <c r="AM36" s="4">
        <v>149269.6731500823</v>
      </c>
      <c r="AN36" s="4">
        <v>149714.9378180008</v>
      </c>
      <c r="AO36" s="4">
        <v>150100.3132987353</v>
      </c>
      <c r="AP36" s="4">
        <v>150433.601258842</v>
      </c>
      <c r="AQ36" s="4">
        <v>150721.6523341327</v>
      </c>
      <c r="AR36" s="4">
        <v>150970.4649910889</v>
      </c>
      <c r="AS36" s="4">
        <v>151185.278779904</v>
      </c>
      <c r="AT36" s="4">
        <v>151370.660837029</v>
      </c>
      <c r="AU36" s="4">
        <v>151530.5850859816</v>
      </c>
      <c r="AV36" s="4">
        <v>151668.5040047231</v>
      </c>
      <c r="AW36" s="4">
        <v>151787.413115318</v>
      </c>
      <c r="AX36" s="4">
        <v>151889.9085392223</v>
      </c>
      <c r="AY36" s="4">
        <v>151978.2380753194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spans="1:85">
      <c r="A37" t="s">
        <v>69</v>
      </c>
      <c r="B37" s="4">
        <v>48530.00087460262</v>
      </c>
      <c r="C37" s="4">
        <v>55193.85234579149</v>
      </c>
      <c r="D37" s="4">
        <v>62591.35617762676</v>
      </c>
      <c r="E37" s="4">
        <v>70753.37262177425</v>
      </c>
      <c r="F37" s="4">
        <v>79698.55916045609</v>
      </c>
      <c r="G37" s="4">
        <v>89430.10477169562</v>
      </c>
      <c r="H37" s="4">
        <v>99932.65064447312</v>
      </c>
      <c r="I37" s="4">
        <v>111169.7236194769</v>
      </c>
      <c r="J37" s="4">
        <v>123082.0426852271</v>
      </c>
      <c r="K37" s="4">
        <v>135587.0462161285</v>
      </c>
      <c r="L37" s="4">
        <v>148579.9151387885</v>
      </c>
      <c r="M37" s="4">
        <v>161936.2320441427</v>
      </c>
      <c r="N37" s="4">
        <v>175516.2304775867</v>
      </c>
      <c r="O37" s="4">
        <v>189170.3799866195</v>
      </c>
      <c r="P37" s="4">
        <v>202745.8599569551</v>
      </c>
      <c r="Q37" s="4">
        <v>216093.3395662484</v>
      </c>
      <c r="R37" s="4">
        <v>229073.4331528637</v>
      </c>
      <c r="S37" s="4">
        <v>241562.2512058261</v>
      </c>
      <c r="T37" s="4">
        <v>253455.6050915415</v>
      </c>
      <c r="U37" s="4">
        <v>264671.6172654169</v>
      </c>
      <c r="V37" s="4">
        <v>275151.6972151741</v>
      </c>
      <c r="W37" s="4">
        <v>284860.0279930659</v>
      </c>
      <c r="X37" s="4">
        <v>293781.8415964498</v>
      </c>
      <c r="Y37" s="4">
        <v>301920.8320748909</v>
      </c>
      <c r="Z37" s="4">
        <v>309296.0662731527</v>
      </c>
      <c r="AA37" s="4">
        <v>315938.7169417446</v>
      </c>
      <c r="AB37" s="4">
        <v>321888.8793231208</v>
      </c>
      <c r="AC37" s="4">
        <v>327192.6574085754</v>
      </c>
      <c r="AD37" s="4">
        <v>331899.6332786328</v>
      </c>
      <c r="AE37" s="4">
        <v>336060.7708074615</v>
      </c>
      <c r="AF37" s="4">
        <v>339726.7574561427</v>
      </c>
      <c r="AG37" s="4">
        <v>342946.7553363428</v>
      </c>
      <c r="AH37" s="4">
        <v>345767.5134516648</v>
      </c>
      <c r="AI37" s="4">
        <v>348232.7842469916</v>
      </c>
      <c r="AJ37" s="4">
        <v>350382.9863470333</v>
      </c>
      <c r="AK37" s="4">
        <v>352255.058974274</v>
      </c>
      <c r="AL37" s="4">
        <v>353882.4598618536</v>
      </c>
      <c r="AM37" s="4">
        <v>355295.265951173</v>
      </c>
      <c r="AN37" s="4">
        <v>356520.3437370587</v>
      </c>
      <c r="AO37" s="4">
        <v>357581.5631607472</v>
      </c>
      <c r="AP37" s="4">
        <v>358500.0351244796</v>
      </c>
      <c r="AQ37" s="4">
        <v>359294.3578915921</v>
      </c>
      <c r="AR37" s="4">
        <v>359980.8618538342</v>
      </c>
      <c r="AS37" s="4">
        <v>360573.8454780593</v>
      </c>
      <c r="AT37" s="4">
        <v>361085.797806459</v>
      </c>
      <c r="AU37" s="4">
        <v>361527.6048064282</v>
      </c>
      <c r="AV37" s="4">
        <v>361908.7382707081</v>
      </c>
      <c r="AW37" s="4">
        <v>362237.4269652541</v>
      </c>
      <c r="AX37" s="4">
        <v>362520.8104047547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</row>
    <row r="38" spans="1:85">
      <c r="A38" t="s">
        <v>70</v>
      </c>
      <c r="B38" s="4">
        <v>54986.96527345567</v>
      </c>
      <c r="C38" s="4">
        <v>62354.25469983043</v>
      </c>
      <c r="D38" s="4">
        <v>70482.25261055768</v>
      </c>
      <c r="E38" s="4">
        <v>79389.33530078807</v>
      </c>
      <c r="F38" s="4">
        <v>89078.45226961059</v>
      </c>
      <c r="G38" s="4">
        <v>99534.0680411974</v>
      </c>
      <c r="H38" s="4">
        <v>110719.6184917169</v>
      </c>
      <c r="I38" s="4">
        <v>122575.8402353939</v>
      </c>
      <c r="J38" s="4">
        <v>135020.3183378286</v>
      </c>
      <c r="K38" s="4">
        <v>147948.5246907418</v>
      </c>
      <c r="L38" s="4">
        <v>161236.4841731198</v>
      </c>
      <c r="M38" s="4">
        <v>174745.0204353922</v>
      </c>
      <c r="N38" s="4">
        <v>188325.3255619052</v>
      </c>
      <c r="O38" s="4">
        <v>201825.4068458898</v>
      </c>
      <c r="P38" s="4">
        <v>215096.829919257</v>
      </c>
      <c r="Q38" s="4">
        <v>228001.1309717192</v>
      </c>
      <c r="R38" s="4">
        <v>240415.3226849224</v>
      </c>
      <c r="S38" s="4">
        <v>252236.0566300184</v>
      </c>
      <c r="T38" s="4">
        <v>263382.197926545</v>
      </c>
      <c r="U38" s="4">
        <v>273795.7752536539</v>
      </c>
      <c r="V38" s="4">
        <v>283441.4523946195</v>
      </c>
      <c r="W38" s="4">
        <v>292304.799399237</v>
      </c>
      <c r="X38" s="4">
        <v>300389.7108620379</v>
      </c>
      <c r="Y38" s="4">
        <v>307715.329083098</v>
      </c>
      <c r="Z38" s="4">
        <v>314312.7944032323</v>
      </c>
      <c r="AA38" s="4">
        <v>320222.0814743374</v>
      </c>
      <c r="AB38" s="4">
        <v>325489.1056692342</v>
      </c>
      <c r="AC38" s="4">
        <v>330163.2115411296</v>
      </c>
      <c r="AD38" s="4">
        <v>334295.093619747</v>
      </c>
      <c r="AE38" s="4">
        <v>337935.1527311202</v>
      </c>
      <c r="AF38" s="4">
        <v>341132.2588478115</v>
      </c>
      <c r="AG38" s="4">
        <v>343932.8724617263</v>
      </c>
      <c r="AH38" s="4">
        <v>346380.4678589126</v>
      </c>
      <c r="AI38" s="4">
        <v>348515.2005127177</v>
      </c>
      <c r="AJ38" s="4">
        <v>350373.7644489787</v>
      </c>
      <c r="AK38" s="4">
        <v>351989.3917518697</v>
      </c>
      <c r="AL38" s="4">
        <v>353391.9538198837</v>
      </c>
      <c r="AM38" s="4">
        <v>354608.1315098744</v>
      </c>
      <c r="AN38" s="4">
        <v>355661.6282967822</v>
      </c>
      <c r="AO38" s="4">
        <v>356573.4067044551</v>
      </c>
      <c r="AP38" s="4">
        <v>357361.9334120759</v>
      </c>
      <c r="AQ38" s="4">
        <v>358043.4226235687</v>
      </c>
      <c r="AR38" s="4">
        <v>358632.0705889609</v>
      </c>
      <c r="AS38" s="4">
        <v>359140.2767057065</v>
      </c>
      <c r="AT38" s="4">
        <v>359578.8485320124</v>
      </c>
      <c r="AU38" s="4">
        <v>359957.1894352008</v>
      </c>
      <c r="AV38" s="4">
        <v>360283.4685848987</v>
      </c>
      <c r="AW38" s="4">
        <v>360564.7736760952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spans="1:85">
      <c r="A39" t="s">
        <v>71</v>
      </c>
      <c r="B39" s="4">
        <v>63833.99640543375</v>
      </c>
      <c r="C39" s="4">
        <v>72499.89092242633</v>
      </c>
      <c r="D39" s="4">
        <v>82092.09801113766</v>
      </c>
      <c r="E39" s="4">
        <v>92641.90454887046</v>
      </c>
      <c r="F39" s="4">
        <v>104163.556986493</v>
      </c>
      <c r="G39" s="4">
        <v>116650.2938639056</v>
      </c>
      <c r="H39" s="4">
        <v>130070.7966442941</v>
      </c>
      <c r="I39" s="4">
        <v>144366.4881917511</v>
      </c>
      <c r="J39" s="4">
        <v>159450.1247656064</v>
      </c>
      <c r="K39" s="4">
        <v>175206.0772212764</v>
      </c>
      <c r="L39" s="4">
        <v>191492.5692906325</v>
      </c>
      <c r="M39" s="4">
        <v>208145.9403430013</v>
      </c>
      <c r="N39" s="4">
        <v>224986.7514719562</v>
      </c>
      <c r="O39" s="4">
        <v>241827.2992460561</v>
      </c>
      <c r="P39" s="4">
        <v>258479.8919420186</v>
      </c>
      <c r="Q39" s="4">
        <v>274765.1246857314</v>
      </c>
      <c r="R39" s="4">
        <v>290519.3900984263</v>
      </c>
      <c r="S39" s="4">
        <v>305600.9797417618</v>
      </c>
      <c r="T39" s="4">
        <v>319894.3413702949</v>
      </c>
      <c r="U39" s="4">
        <v>333312.3115597739</v>
      </c>
      <c r="V39" s="4">
        <v>345796.3917535022</v>
      </c>
      <c r="W39" s="4">
        <v>357315.336063414</v>
      </c>
      <c r="X39" s="4">
        <v>367862.446761333</v>
      </c>
      <c r="Y39" s="4">
        <v>377452.0233724732</v>
      </c>
      <c r="Z39" s="4">
        <v>386115.394574045</v>
      </c>
      <c r="AA39" s="4">
        <v>393896.8987444506</v>
      </c>
      <c r="AB39" s="4">
        <v>400850.0912206122</v>
      </c>
      <c r="AC39" s="4">
        <v>407034.3633716871</v>
      </c>
      <c r="AD39" s="4">
        <v>412512.0741648829</v>
      </c>
      <c r="AE39" s="4">
        <v>417346.2266177869</v>
      </c>
      <c r="AF39" s="4">
        <v>421598.6719534575</v>
      </c>
      <c r="AG39" s="4">
        <v>425328.7924307705</v>
      </c>
      <c r="AH39" s="4">
        <v>428592.5967867651</v>
      </c>
      <c r="AI39" s="4">
        <v>431442.1563563118</v>
      </c>
      <c r="AJ39" s="4">
        <v>433925.3116860673</v>
      </c>
      <c r="AK39" s="4">
        <v>436085.5858354939</v>
      </c>
      <c r="AL39" s="4">
        <v>437962.2492603095</v>
      </c>
      <c r="AM39" s="4">
        <v>439590.4905916129</v>
      </c>
      <c r="AN39" s="4">
        <v>441001.6567269687</v>
      </c>
      <c r="AO39" s="4">
        <v>442223.5338546682</v>
      </c>
      <c r="AP39" s="4">
        <v>443280.6480728641</v>
      </c>
      <c r="AQ39" s="4">
        <v>444194.5700825858</v>
      </c>
      <c r="AR39" s="4">
        <v>444984.2130932312</v>
      </c>
      <c r="AS39" s="4">
        <v>445666.116711145</v>
      </c>
      <c r="AT39" s="4">
        <v>446254.712341934</v>
      </c>
      <c r="AU39" s="4">
        <v>446762.5676819541</v>
      </c>
      <c r="AV39" s="4">
        <v>447200.609348435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spans="1:85">
      <c r="A40" t="s">
        <v>72</v>
      </c>
      <c r="B40" s="4">
        <v>88955.91834522305</v>
      </c>
      <c r="C40" s="4">
        <v>101306.2809868305</v>
      </c>
      <c r="D40" s="4">
        <v>115055.1420408371</v>
      </c>
      <c r="E40" s="4">
        <v>130272.4868747634</v>
      </c>
      <c r="F40" s="4">
        <v>147007.5918230692</v>
      </c>
      <c r="G40" s="4">
        <v>165282.6529944945</v>
      </c>
      <c r="H40" s="4">
        <v>185086.5042964857</v>
      </c>
      <c r="I40" s="4">
        <v>206369.0062613393</v>
      </c>
      <c r="J40" s="4">
        <v>229036.7867875149</v>
      </c>
      <c r="K40" s="4">
        <v>252951.039989502</v>
      </c>
      <c r="L40" s="4">
        <v>277928.008364825</v>
      </c>
      <c r="M40" s="4">
        <v>303742.5694176438</v>
      </c>
      <c r="N40" s="4">
        <v>330135.0289788338</v>
      </c>
      <c r="O40" s="4">
        <v>356820.8290537757</v>
      </c>
      <c r="P40" s="4">
        <v>383502.4751508659</v>
      </c>
      <c r="Q40" s="4">
        <v>409882.6574546258</v>
      </c>
      <c r="R40" s="4">
        <v>435677.3547718807</v>
      </c>
      <c r="S40" s="4">
        <v>460627.7128911743</v>
      </c>
      <c r="T40" s="4">
        <v>484509.6792156849</v>
      </c>
      <c r="U40" s="4">
        <v>507140.7091958132</v>
      </c>
      <c r="V40" s="4">
        <v>528383.2638010422</v>
      </c>
      <c r="W40" s="4">
        <v>548145.2103837652</v>
      </c>
      <c r="X40" s="4">
        <v>566377.5553876618</v>
      </c>
      <c r="Y40" s="4">
        <v>583070.1379841483</v>
      </c>
      <c r="Z40" s="4">
        <v>598245.9914409806</v>
      </c>
      <c r="AA40" s="4">
        <v>611955.0514166245</v>
      </c>
      <c r="AB40" s="4">
        <v>624267.7892887543</v>
      </c>
      <c r="AC40" s="4">
        <v>635269.2092525767</v>
      </c>
      <c r="AD40" s="4">
        <v>645053.5007034257</v>
      </c>
      <c r="AE40" s="4">
        <v>653719.5038998598</v>
      </c>
      <c r="AF40" s="4">
        <v>661367.0390719877</v>
      </c>
      <c r="AG40" s="4">
        <v>668094.0709527982</v>
      </c>
      <c r="AH40" s="4">
        <v>673994.6305796879</v>
      </c>
      <c r="AI40" s="4">
        <v>679157.3894774423</v>
      </c>
      <c r="AJ40" s="4">
        <v>683664.7722146522</v>
      </c>
      <c r="AK40" s="4">
        <v>687592.4962194357</v>
      </c>
      <c r="AL40" s="4">
        <v>691009.4379087168</v>
      </c>
      <c r="AM40" s="4">
        <v>693977.7380021454</v>
      </c>
      <c r="AN40" s="4">
        <v>696553.0738163328</v>
      </c>
      <c r="AO40" s="4">
        <v>698785.0407453773</v>
      </c>
      <c r="AP40" s="4">
        <v>700717.5981129606</v>
      </c>
      <c r="AQ40" s="4">
        <v>702389.5457126905</v>
      </c>
      <c r="AR40" s="4">
        <v>703835.006546972</v>
      </c>
      <c r="AS40" s="4">
        <v>705083.8986360121</v>
      </c>
      <c r="AT40" s="4">
        <v>706162.3845046422</v>
      </c>
      <c r="AU40" s="4">
        <v>707093.2913122353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</row>
    <row r="41" spans="1:85">
      <c r="A41" t="s">
        <v>73</v>
      </c>
      <c r="B41" s="4">
        <v>86048.08765983638</v>
      </c>
      <c r="C41" s="4">
        <v>97568.1248579286</v>
      </c>
      <c r="D41" s="4">
        <v>110275.224543838</v>
      </c>
      <c r="E41" s="4">
        <v>124197.3894471943</v>
      </c>
      <c r="F41" s="4">
        <v>139338.4237665288</v>
      </c>
      <c r="G41" s="4">
        <v>155673.1818253732</v>
      </c>
      <c r="H41" s="4">
        <v>173143.6350485551</v>
      </c>
      <c r="I41" s="4">
        <v>191656.3167879112</v>
      </c>
      <c r="J41" s="4">
        <v>211081.6812742506</v>
      </c>
      <c r="K41" s="4">
        <v>231255.7963311566</v>
      </c>
      <c r="L41" s="4">
        <v>251984.5759703598</v>
      </c>
      <c r="M41" s="4">
        <v>273050.4683564517</v>
      </c>
      <c r="N41" s="4">
        <v>294221.1908583286</v>
      </c>
      <c r="O41" s="4">
        <v>315259.8078858452</v>
      </c>
      <c r="P41" s="4">
        <v>335935.2418293208</v>
      </c>
      <c r="Q41" s="4">
        <v>356032.2394261094</v>
      </c>
      <c r="R41" s="4">
        <v>375359.9012368762</v>
      </c>
      <c r="S41" s="4">
        <v>393758.1006201229</v>
      </c>
      <c r="T41" s="4">
        <v>411101.4211556987</v>
      </c>
      <c r="U41" s="4">
        <v>427300.5643092641</v>
      </c>
      <c r="V41" s="4">
        <v>442301.4626705535</v>
      </c>
      <c r="W41" s="4">
        <v>456082.5369517563</v>
      </c>
      <c r="X41" s="4">
        <v>468650.640216999</v>
      </c>
      <c r="Y41" s="4">
        <v>480036.2463358469</v>
      </c>
      <c r="Z41" s="4">
        <v>490288.3826336096</v>
      </c>
      <c r="AA41" s="4">
        <v>499469.7067923201</v>
      </c>
      <c r="AB41" s="4">
        <v>507652.0116680347</v>
      </c>
      <c r="AC41" s="4">
        <v>514912.3293320298</v>
      </c>
      <c r="AD41" s="4">
        <v>521329.7101967664</v>
      </c>
      <c r="AE41" s="4">
        <v>526982.6803678451</v>
      </c>
      <c r="AF41" s="4">
        <v>531947.3308598551</v>
      </c>
      <c r="AG41" s="4">
        <v>536295.9632217725</v>
      </c>
      <c r="AH41" s="4">
        <v>540096.2031030629</v>
      </c>
      <c r="AI41" s="4">
        <v>543410.4917582114</v>
      </c>
      <c r="AJ41" s="4">
        <v>546295.8713258494</v>
      </c>
      <c r="AK41" s="4">
        <v>548803.9896464723</v>
      </c>
      <c r="AL41" s="4">
        <v>550981.262006563</v>
      </c>
      <c r="AM41" s="4">
        <v>552869.1389197353</v>
      </c>
      <c r="AN41" s="4">
        <v>554504.4399173398</v>
      </c>
      <c r="AO41" s="4">
        <v>555919.7228297208</v>
      </c>
      <c r="AP41" s="4">
        <v>557143.6660205096</v>
      </c>
      <c r="AQ41" s="4">
        <v>558201.4475138922</v>
      </c>
      <c r="AR41" s="4">
        <v>559115.1100635175</v>
      </c>
      <c r="AS41" s="4">
        <v>559903.9051374977</v>
      </c>
      <c r="AT41" s="4">
        <v>560584.6117357074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spans="1:85">
      <c r="A42" t="s">
        <v>74</v>
      </c>
      <c r="B42" s="4">
        <v>50648.41016245582</v>
      </c>
      <c r="C42" s="4">
        <v>57652.96615907765</v>
      </c>
      <c r="D42" s="4">
        <v>65442.88755143387</v>
      </c>
      <c r="E42" s="4">
        <v>74055.26796744531</v>
      </c>
      <c r="F42" s="4">
        <v>83515.05478050097</v>
      </c>
      <c r="G42" s="4">
        <v>93831.49471018296</v>
      </c>
      <c r="H42" s="4">
        <v>104994.6820716858</v>
      </c>
      <c r="I42" s="4">
        <v>116972.5452251647</v>
      </c>
      <c r="J42" s="4">
        <v>129708.6561116007</v>
      </c>
      <c r="K42" s="4">
        <v>143121.2522143893</v>
      </c>
      <c r="L42" s="4">
        <v>157103.8032640363</v>
      </c>
      <c r="M42" s="4">
        <v>171527.3291831793</v>
      </c>
      <c r="N42" s="4">
        <v>186244.4887411403</v>
      </c>
      <c r="O42" s="4">
        <v>201095.2351095278</v>
      </c>
      <c r="P42" s="4">
        <v>215913.6143745212</v>
      </c>
      <c r="Q42" s="4">
        <v>230535.1111398432</v>
      </c>
      <c r="R42" s="4">
        <v>244803.8599976946</v>
      </c>
      <c r="S42" s="4">
        <v>258579.0627478591</v>
      </c>
      <c r="T42" s="4">
        <v>271740.073840393</v>
      </c>
      <c r="U42" s="4">
        <v>284189.8123928293</v>
      </c>
      <c r="V42" s="4">
        <v>295856.3857844083</v>
      </c>
      <c r="W42" s="4">
        <v>306693.0230415774</v>
      </c>
      <c r="X42" s="4">
        <v>316676.5814797662</v>
      </c>
      <c r="Y42" s="4">
        <v>325804.9891297088</v>
      </c>
      <c r="Z42" s="4">
        <v>334094.0170844726</v>
      </c>
      <c r="AA42" s="4">
        <v>341573.7517391521</v>
      </c>
      <c r="AB42" s="4">
        <v>348285.0754269008</v>
      </c>
      <c r="AC42" s="4">
        <v>354276.3845425656</v>
      </c>
      <c r="AD42" s="4">
        <v>359600.6930296021</v>
      </c>
      <c r="AE42" s="4">
        <v>364313.19709294</v>
      </c>
      <c r="AF42" s="4">
        <v>368469.3199609814</v>
      </c>
      <c r="AG42" s="4">
        <v>372123.2149908553</v>
      </c>
      <c r="AH42" s="4">
        <v>375326.6801051432</v>
      </c>
      <c r="AI42" s="4">
        <v>378128.4236914503</v>
      </c>
      <c r="AJ42" s="4">
        <v>380573.618450628</v>
      </c>
      <c r="AK42" s="4">
        <v>382703.6821961234</v>
      </c>
      <c r="AL42" s="4">
        <v>384556.230757953</v>
      </c>
      <c r="AM42" s="4">
        <v>386165.1560270253</v>
      </c>
      <c r="AN42" s="4">
        <v>387560.7904765372</v>
      </c>
      <c r="AO42" s="4">
        <v>388770.1273947089</v>
      </c>
      <c r="AP42" s="4">
        <v>389817.0731056409</v>
      </c>
      <c r="AQ42" s="4">
        <v>390722.7134500177</v>
      </c>
      <c r="AR42" s="4">
        <v>391505.5817191391</v>
      </c>
      <c r="AS42" s="4">
        <v>392181.9191564673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</row>
    <row r="43" spans="1:85">
      <c r="A43" t="s">
        <v>75</v>
      </c>
      <c r="B43" s="4">
        <v>64775.81227313697</v>
      </c>
      <c r="C43" s="4">
        <v>73708.9140514804</v>
      </c>
      <c r="D43" s="4">
        <v>83636.43351560496</v>
      </c>
      <c r="E43" s="4">
        <v>94603.308336638</v>
      </c>
      <c r="F43" s="4">
        <v>106638.6320001035</v>
      </c>
      <c r="G43" s="4">
        <v>119751.1796004362</v>
      </c>
      <c r="H43" s="4">
        <v>133925.1120521303</v>
      </c>
      <c r="I43" s="4">
        <v>149116.2909828277</v>
      </c>
      <c r="J43" s="4">
        <v>165249.692750993</v>
      </c>
      <c r="K43" s="4">
        <v>182218.4067147521</v>
      </c>
      <c r="L43" s="4">
        <v>199884.6202449295</v>
      </c>
      <c r="M43" s="4">
        <v>218082.823873375</v>
      </c>
      <c r="N43" s="4">
        <v>236625.2266943862</v>
      </c>
      <c r="O43" s="4">
        <v>255309.0887776941</v>
      </c>
      <c r="P43" s="4">
        <v>273925.405117162</v>
      </c>
      <c r="Q43" s="4">
        <v>292268.171047455</v>
      </c>
      <c r="R43" s="4">
        <v>310143.3681035848</v>
      </c>
      <c r="S43" s="4">
        <v>327376.8532411174</v>
      </c>
      <c r="T43" s="4">
        <v>343820.5028452513</v>
      </c>
      <c r="U43" s="4">
        <v>359356.2174646425</v>
      </c>
      <c r="V43" s="4">
        <v>373897.6790661521</v>
      </c>
      <c r="W43" s="4">
        <v>387390.0150660927</v>
      </c>
      <c r="X43" s="4">
        <v>399807.7213580576</v>
      </c>
      <c r="Y43" s="4">
        <v>411151.3099426198</v>
      </c>
      <c r="Z43" s="4">
        <v>421443.1764375595</v>
      </c>
      <c r="AA43" s="4">
        <v>430723.1449501051</v>
      </c>
      <c r="AB43" s="4">
        <v>439044.0662753787</v>
      </c>
      <c r="AC43" s="4">
        <v>446467.7442078583</v>
      </c>
      <c r="AD43" s="4">
        <v>453061.3634658298</v>
      </c>
      <c r="AE43" s="4">
        <v>458894.5042980537</v>
      </c>
      <c r="AF43" s="4">
        <v>464036.759753193</v>
      </c>
      <c r="AG43" s="4">
        <v>468555.9232213458</v>
      </c>
      <c r="AH43" s="4">
        <v>472516.6842569544</v>
      </c>
      <c r="AI43" s="4">
        <v>475979.7562375989</v>
      </c>
      <c r="AJ43" s="4">
        <v>479001.3560256988</v>
      </c>
      <c r="AK43" s="4">
        <v>481632.9597132021</v>
      </c>
      <c r="AL43" s="4">
        <v>483921.266661876</v>
      </c>
      <c r="AM43" s="4">
        <v>485908.3141105174</v>
      </c>
      <c r="AN43" s="4">
        <v>487631.6950417741</v>
      </c>
      <c r="AO43" s="4">
        <v>489124.8418194353</v>
      </c>
      <c r="AP43" s="4">
        <v>490417.3468033382</v>
      </c>
      <c r="AQ43" s="4">
        <v>491535.2985140297</v>
      </c>
      <c r="AR43" s="4">
        <v>492501.6179409126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spans="1:85">
      <c r="A44" t="s">
        <v>76</v>
      </c>
      <c r="B44" s="4">
        <v>94901.23770798896</v>
      </c>
      <c r="C44" s="4">
        <v>107473.2670620971</v>
      </c>
      <c r="D44" s="4">
        <v>121304.6924597642</v>
      </c>
      <c r="E44" s="4">
        <v>136415.4358376687</v>
      </c>
      <c r="F44" s="4">
        <v>152797.993615501</v>
      </c>
      <c r="G44" s="4">
        <v>170412.7257890234</v>
      </c>
      <c r="H44" s="4">
        <v>189184.2336899266</v>
      </c>
      <c r="I44" s="4">
        <v>208999.414250672</v>
      </c>
      <c r="J44" s="4">
        <v>229707.7170797005</v>
      </c>
      <c r="K44" s="4">
        <v>251123.9671653883</v>
      </c>
      <c r="L44" s="4">
        <v>273033.8560113222</v>
      </c>
      <c r="M44" s="4">
        <v>295201.8786018509</v>
      </c>
      <c r="N44" s="4">
        <v>317381.1573943183</v>
      </c>
      <c r="O44" s="4">
        <v>339324.3144293777</v>
      </c>
      <c r="P44" s="4">
        <v>360794.3901201468</v>
      </c>
      <c r="Q44" s="4">
        <v>381574.7999334243</v>
      </c>
      <c r="R44" s="4">
        <v>401477.4697422867</v>
      </c>
      <c r="S44" s="4">
        <v>420348.5623974854</v>
      </c>
      <c r="T44" s="4">
        <v>438071.5420042537</v>
      </c>
      <c r="U44" s="4">
        <v>454567.6513049184</v>
      </c>
      <c r="V44" s="4">
        <v>469794.1451692645</v>
      </c>
      <c r="W44" s="4">
        <v>483740.7959976601</v>
      </c>
      <c r="X44" s="4">
        <v>496425.2572196256</v>
      </c>
      <c r="Y44" s="4">
        <v>507887.8526316115</v>
      </c>
      <c r="Z44" s="4">
        <v>518186.2781001237</v>
      </c>
      <c r="AA44" s="4">
        <v>527390.5874541508</v>
      </c>
      <c r="AB44" s="4">
        <v>535578.7118592414</v>
      </c>
      <c r="AC44" s="4">
        <v>542832.6499895821</v>
      </c>
      <c r="AD44" s="4">
        <v>549235.3752990775</v>
      </c>
      <c r="AE44" s="4">
        <v>554868.4402665485</v>
      </c>
      <c r="AF44" s="4">
        <v>559810.2145463794</v>
      </c>
      <c r="AG44" s="4">
        <v>564134.6707208003</v>
      </c>
      <c r="AH44" s="4">
        <v>567910.6230416368</v>
      </c>
      <c r="AI44" s="4">
        <v>571201.3264824941</v>
      </c>
      <c r="AJ44" s="4">
        <v>574064.3516080885</v>
      </c>
      <c r="AK44" s="4">
        <v>576551.6621369893</v>
      </c>
      <c r="AL44" s="4">
        <v>578709.8344659485</v>
      </c>
      <c r="AM44" s="4">
        <v>580580.3704501044</v>
      </c>
      <c r="AN44" s="4">
        <v>582200.0656022219</v>
      </c>
      <c r="AO44" s="4">
        <v>583601.4042190417</v>
      </c>
      <c r="AP44" s="4">
        <v>584812.9606764645</v>
      </c>
      <c r="AQ44" s="4">
        <v>585859.7923381639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spans="1:85">
      <c r="A45" t="s">
        <v>77</v>
      </c>
      <c r="B45" s="4">
        <v>18693.87412419268</v>
      </c>
      <c r="C45" s="4">
        <v>21288.59566829845</v>
      </c>
      <c r="D45" s="4">
        <v>24176.937266892</v>
      </c>
      <c r="E45" s="4">
        <v>27373.53723064576</v>
      </c>
      <c r="F45" s="4">
        <v>30888.67283042667</v>
      </c>
      <c r="G45" s="4">
        <v>34726.92316013344</v>
      </c>
      <c r="H45" s="4">
        <v>38885.85204561472</v>
      </c>
      <c r="I45" s="4">
        <v>43354.83334208687</v>
      </c>
      <c r="J45" s="4">
        <v>48114.16169860594</v>
      </c>
      <c r="K45" s="4">
        <v>53134.59689408123</v>
      </c>
      <c r="L45" s="4">
        <v>58377.47255457163</v>
      </c>
      <c r="M45" s="4">
        <v>63795.45692771522</v>
      </c>
      <c r="N45" s="4">
        <v>69333.98622444182</v>
      </c>
      <c r="O45" s="4">
        <v>74933.30817064739</v>
      </c>
      <c r="P45" s="4">
        <v>80530.98896517193</v>
      </c>
      <c r="Q45" s="4">
        <v>86064.6677683189</v>
      </c>
      <c r="R45" s="4">
        <v>91474.80438443144</v>
      </c>
      <c r="S45" s="4">
        <v>96707.16687335754</v>
      </c>
      <c r="T45" s="4">
        <v>101714.8461766671</v>
      </c>
      <c r="U45" s="4">
        <v>106459.6551321407</v>
      </c>
      <c r="V45" s="4">
        <v>110912.8540263723</v>
      </c>
      <c r="W45" s="4">
        <v>115055.2271909626</v>
      </c>
      <c r="X45" s="4">
        <v>118876.6012074118</v>
      </c>
      <c r="Y45" s="4">
        <v>122374.9370613729</v>
      </c>
      <c r="Z45" s="4">
        <v>125555.1445920527</v>
      </c>
      <c r="AA45" s="4">
        <v>128427.7615568558</v>
      </c>
      <c r="AB45" s="4">
        <v>131007.6182803105</v>
      </c>
      <c r="AC45" s="4">
        <v>133312.5795590049</v>
      </c>
      <c r="AD45" s="4">
        <v>135362.4246177987</v>
      </c>
      <c r="AE45" s="4">
        <v>137177.8979537672</v>
      </c>
      <c r="AF45" s="4">
        <v>138779.9413542417</v>
      </c>
      <c r="AG45" s="4">
        <v>140189.1010467817</v>
      </c>
      <c r="AH45" s="4">
        <v>141425.0934878502</v>
      </c>
      <c r="AI45" s="4">
        <v>142506.5077402132</v>
      </c>
      <c r="AJ45" s="4">
        <v>143450.6205134631</v>
      </c>
      <c r="AK45" s="4">
        <v>144273.3005734765</v>
      </c>
      <c r="AL45" s="4">
        <v>144988.9813735286</v>
      </c>
      <c r="AM45" s="4">
        <v>145610.6836643333</v>
      </c>
      <c r="AN45" s="4">
        <v>146150.0729719954</v>
      </c>
      <c r="AO45" s="4">
        <v>146617.5398535205</v>
      </c>
      <c r="AP45" s="4">
        <v>147022.2935583321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spans="1:85">
      <c r="A46" t="s">
        <v>78</v>
      </c>
      <c r="B46" s="4">
        <v>62195.69542857436</v>
      </c>
      <c r="C46" s="4">
        <v>70776.99989274691</v>
      </c>
      <c r="D46" s="4">
        <v>80314.70471439938</v>
      </c>
      <c r="E46" s="4">
        <v>90852.3539901632</v>
      </c>
      <c r="F46" s="4">
        <v>102418.3271044316</v>
      </c>
      <c r="G46" s="4">
        <v>115021.5311105345</v>
      </c>
      <c r="H46" s="4">
        <v>128647.2569584707</v>
      </c>
      <c r="I46" s="4">
        <v>143253.6141729284</v>
      </c>
      <c r="J46" s="4">
        <v>158769.0136343069</v>
      </c>
      <c r="K46" s="4">
        <v>175091.1663618956</v>
      </c>
      <c r="L46" s="4">
        <v>192087.9883806567</v>
      </c>
      <c r="M46" s="4">
        <v>209600.6406509762</v>
      </c>
      <c r="N46" s="4">
        <v>227448.7000540793</v>
      </c>
      <c r="O46" s="4">
        <v>245437.184949071</v>
      </c>
      <c r="P46" s="4">
        <v>263364.8959056583</v>
      </c>
      <c r="Q46" s="4">
        <v>281033.3333304711</v>
      </c>
      <c r="R46" s="4">
        <v>298255.363499121</v>
      </c>
      <c r="S46" s="4">
        <v>314862.844060717</v>
      </c>
      <c r="T46" s="4">
        <v>330712.58009373</v>
      </c>
      <c r="U46" s="4">
        <v>345690.2256027242</v>
      </c>
      <c r="V46" s="4">
        <v>359712.020512168</v>
      </c>
      <c r="W46" s="4">
        <v>372724.506866627</v>
      </c>
      <c r="X46" s="4">
        <v>384702.560142356</v>
      </c>
      <c r="Y46" s="4">
        <v>395646.1825248133</v>
      </c>
      <c r="Z46" s="4">
        <v>405576.535160201</v>
      </c>
      <c r="AA46" s="4">
        <v>414531.6511472776</v>
      </c>
      <c r="AB46" s="4">
        <v>422562.1931908308</v>
      </c>
      <c r="AC46" s="4">
        <v>429727.5226071698</v>
      </c>
      <c r="AD46" s="4">
        <v>436092.2487000658</v>
      </c>
      <c r="AE46" s="4">
        <v>441723.3420353232</v>
      </c>
      <c r="AF46" s="4">
        <v>446687.8281995903</v>
      </c>
      <c r="AG46" s="4">
        <v>451051.0316449624</v>
      </c>
      <c r="AH46" s="4">
        <v>454875.3103715552</v>
      </c>
      <c r="AI46" s="4">
        <v>458219.2080149144</v>
      </c>
      <c r="AJ46" s="4">
        <v>461136.9464575154</v>
      </c>
      <c r="AK46" s="4">
        <v>463678.1857357972</v>
      </c>
      <c r="AL46" s="4">
        <v>465887.9857839221</v>
      </c>
      <c r="AM46" s="4">
        <v>467806.9142188465</v>
      </c>
      <c r="AN46" s="4">
        <v>469471.2544092658</v>
      </c>
      <c r="AO46" s="4">
        <v>470913.2775429101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spans="1:85">
      <c r="A47" t="s">
        <v>79</v>
      </c>
      <c r="B47" s="4">
        <v>59651.3648274091</v>
      </c>
      <c r="C47" s="4">
        <v>67769.55598302273</v>
      </c>
      <c r="D47" s="4">
        <v>76761.13825116058</v>
      </c>
      <c r="E47" s="4">
        <v>86657.18882351635</v>
      </c>
      <c r="F47" s="4">
        <v>97473.04380838836</v>
      </c>
      <c r="G47" s="4">
        <v>109204.5211463639</v>
      </c>
      <c r="H47" s="4">
        <v>121824.5005204544</v>
      </c>
      <c r="I47" s="4">
        <v>135280.2623291741</v>
      </c>
      <c r="J47" s="4">
        <v>149492.0089961166</v>
      </c>
      <c r="K47" s="4">
        <v>164352.9515766792</v>
      </c>
      <c r="L47" s="4">
        <v>179731.2312566336</v>
      </c>
      <c r="M47" s="4">
        <v>195473.7618433888</v>
      </c>
      <c r="N47" s="4">
        <v>211411.8470617588</v>
      </c>
      <c r="O47" s="4">
        <v>227368.1838434472</v>
      </c>
      <c r="P47" s="4">
        <v>243164.6577669865</v>
      </c>
      <c r="Q47" s="4">
        <v>258630.214173699</v>
      </c>
      <c r="R47" s="4">
        <v>273608.0765747211</v>
      </c>
      <c r="S47" s="4">
        <v>287961.6855791274</v>
      </c>
      <c r="T47" s="4">
        <v>301578.9230901228</v>
      </c>
      <c r="U47" s="4">
        <v>314374.4254679231</v>
      </c>
      <c r="V47" s="4">
        <v>326290.0273349791</v>
      </c>
      <c r="W47" s="4">
        <v>337293.5734884149</v>
      </c>
      <c r="X47" s="4">
        <v>347376.4648520515</v>
      </c>
      <c r="Y47" s="4">
        <v>356550.3590524067</v>
      </c>
      <c r="Z47" s="4">
        <v>364843.4361156783</v>
      </c>
      <c r="AA47" s="4">
        <v>372296.583361037</v>
      </c>
      <c r="AB47" s="4">
        <v>378959.7718995392</v>
      </c>
      <c r="AC47" s="4">
        <v>384888.8089302344</v>
      </c>
      <c r="AD47" s="4">
        <v>390142.5688058113</v>
      </c>
      <c r="AE47" s="4">
        <v>394780.7394145897</v>
      </c>
      <c r="AF47" s="4">
        <v>398862.0716434754</v>
      </c>
      <c r="AG47" s="4">
        <v>402443.0879028416</v>
      </c>
      <c r="AH47" s="4">
        <v>405577.1882684701</v>
      </c>
      <c r="AI47" s="4">
        <v>408314.0863045427</v>
      </c>
      <c r="AJ47" s="4">
        <v>410699.5076868678</v>
      </c>
      <c r="AK47" s="4">
        <v>412775.0904433784</v>
      </c>
      <c r="AL47" s="4">
        <v>414578.4337237635</v>
      </c>
      <c r="AM47" s="4">
        <v>416143.2509124246</v>
      </c>
      <c r="AN47" s="4">
        <v>417499.5915820809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spans="1:85">
      <c r="A48" t="s">
        <v>80</v>
      </c>
      <c r="B48" s="4">
        <v>56389.84515943409</v>
      </c>
      <c r="C48" s="4">
        <v>63898.84907950805</v>
      </c>
      <c r="D48" s="4">
        <v>72170.60267046199</v>
      </c>
      <c r="E48" s="4">
        <v>81220.08696480599</v>
      </c>
      <c r="F48" s="4">
        <v>91046.184655292</v>
      </c>
      <c r="G48" s="4">
        <v>101628.7249823596</v>
      </c>
      <c r="H48" s="4">
        <v>112926.1229190242</v>
      </c>
      <c r="I48" s="4">
        <v>124873.971239924</v>
      </c>
      <c r="J48" s="4">
        <v>137384.9177892969</v>
      </c>
      <c r="K48" s="4">
        <v>150350.0728716359</v>
      </c>
      <c r="L48" s="4">
        <v>163642.0437228212</v>
      </c>
      <c r="M48" s="4">
        <v>177119.5003679489</v>
      </c>
      <c r="N48" s="4">
        <v>190632.9706859393</v>
      </c>
      <c r="O48" s="4">
        <v>204031.3822191981</v>
      </c>
      <c r="P48" s="4">
        <v>217168.7531730482</v>
      </c>
      <c r="Q48" s="4">
        <v>229910.4115836706</v>
      </c>
      <c r="R48" s="4">
        <v>242138.1953168829</v>
      </c>
      <c r="S48" s="4">
        <v>253754.2392002444</v>
      </c>
      <c r="T48" s="4">
        <v>264683.1548230257</v>
      </c>
      <c r="U48" s="4">
        <v>274872.612374143</v>
      </c>
      <c r="V48" s="4">
        <v>284292.5060641449</v>
      </c>
      <c r="W48" s="4">
        <v>292933.0018215022</v>
      </c>
      <c r="X48" s="4">
        <v>300801.8204911996</v>
      </c>
      <c r="Y48" s="4">
        <v>307921.1078644028</v>
      </c>
      <c r="Z48" s="4">
        <v>314324.1993831336</v>
      </c>
      <c r="AA48" s="4">
        <v>320052.5201300132</v>
      </c>
      <c r="AB48" s="4">
        <v>325152.7860099298</v>
      </c>
      <c r="AC48" s="4">
        <v>329674.6019840779</v>
      </c>
      <c r="AD48" s="4">
        <v>333668.4950663135</v>
      </c>
      <c r="AE48" s="4">
        <v>337184.3764514671</v>
      </c>
      <c r="AF48" s="4">
        <v>340270.3983934795</v>
      </c>
      <c r="AG48" s="4">
        <v>342972.1552147549</v>
      </c>
      <c r="AH48" s="4">
        <v>345332.1712510973</v>
      </c>
      <c r="AI48" s="4">
        <v>347389.618718312</v>
      </c>
      <c r="AJ48" s="4">
        <v>349180.212900513</v>
      </c>
      <c r="AK48" s="4">
        <v>350736.2387274849</v>
      </c>
      <c r="AL48" s="4">
        <v>352086.670311772</v>
      </c>
      <c r="AM48" s="4">
        <v>353257.3524277939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spans="1:85">
      <c r="A49" t="s">
        <v>81</v>
      </c>
      <c r="B49" s="4">
        <v>94487.9585464663</v>
      </c>
      <c r="C49" s="4">
        <v>107037.6491866556</v>
      </c>
      <c r="D49" s="4">
        <v>120853.2837523076</v>
      </c>
      <c r="E49" s="4">
        <v>135957.3074254681</v>
      </c>
      <c r="F49" s="4">
        <v>152345.018055089</v>
      </c>
      <c r="G49" s="4">
        <v>169979.744697685</v>
      </c>
      <c r="H49" s="4">
        <v>188789.066761812</v>
      </c>
      <c r="I49" s="4">
        <v>208662.6671103757</v>
      </c>
      <c r="J49" s="4">
        <v>229452.3597469059</v>
      </c>
      <c r="K49" s="4">
        <v>250974.6779315108</v>
      </c>
      <c r="L49" s="4">
        <v>273016.1549105017</v>
      </c>
      <c r="M49" s="4">
        <v>295341.1057645937</v>
      </c>
      <c r="N49" s="4">
        <v>317701.3782842145</v>
      </c>
      <c r="O49" s="4">
        <v>339847.250196792</v>
      </c>
      <c r="P49" s="4">
        <v>361538.4728207443</v>
      </c>
      <c r="Q49" s="4">
        <v>382554.4381780121</v>
      </c>
      <c r="R49" s="4">
        <v>402702.5831869702</v>
      </c>
      <c r="S49" s="4">
        <v>421824.4089904553</v>
      </c>
      <c r="T49" s="4">
        <v>439798.8269636058</v>
      </c>
      <c r="U49" s="4">
        <v>456542.8776251716</v>
      </c>
      <c r="V49" s="4">
        <v>472010.1461222696</v>
      </c>
      <c r="W49" s="4">
        <v>486187.381955488</v>
      </c>
      <c r="X49" s="4">
        <v>499089.9110835584</v>
      </c>
      <c r="Y49" s="4">
        <v>510756.4175107568</v>
      </c>
      <c r="Z49" s="4">
        <v>521243.5943763594</v>
      </c>
      <c r="AA49" s="4">
        <v>530621.0509897294</v>
      </c>
      <c r="AB49" s="4">
        <v>538966.7386014127</v>
      </c>
      <c r="AC49" s="4">
        <v>546363.0432680496</v>
      </c>
      <c r="AD49" s="4">
        <v>552893.6001803139</v>
      </c>
      <c r="AE49" s="4">
        <v>558640.8145052607</v>
      </c>
      <c r="AF49" s="4">
        <v>563684.0283934502</v>
      </c>
      <c r="AG49" s="4">
        <v>568098.2486906806</v>
      </c>
      <c r="AH49" s="4">
        <v>571953.3402954524</v>
      </c>
      <c r="AI49" s="4">
        <v>575313.5912523356</v>
      </c>
      <c r="AJ49" s="4">
        <v>578237.5634668473</v>
      </c>
      <c r="AK49" s="4">
        <v>580778.1541858903</v>
      </c>
      <c r="AL49" s="4">
        <v>582982.805848389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spans="1:85">
      <c r="A50" t="s">
        <v>82</v>
      </c>
      <c r="B50" s="4">
        <v>27872.54606596201</v>
      </c>
      <c r="C50" s="4">
        <v>31606.03872517515</v>
      </c>
      <c r="D50" s="4">
        <v>35724.77505440789</v>
      </c>
      <c r="E50" s="4">
        <v>40237.99012868674</v>
      </c>
      <c r="F50" s="4">
        <v>45147.09317078467</v>
      </c>
      <c r="G50" s="4">
        <v>50444.12100195308</v>
      </c>
      <c r="H50" s="4">
        <v>56110.45368812452</v>
      </c>
      <c r="I50" s="4">
        <v>62115.97396678502</v>
      </c>
      <c r="J50" s="4">
        <v>68418.84504511298</v>
      </c>
      <c r="K50" s="4">
        <v>74966.04412442958</v>
      </c>
      <c r="L50" s="4">
        <v>81694.72026408189</v>
      </c>
      <c r="M50" s="4">
        <v>88534.35120302445</v>
      </c>
      <c r="N50" s="4">
        <v>95409.56864697865</v>
      </c>
      <c r="O50" s="4">
        <v>102243.4250075935</v>
      </c>
      <c r="P50" s="4">
        <v>108960.8071146476</v>
      </c>
      <c r="Q50" s="4">
        <v>115491.6793545561</v>
      </c>
      <c r="R50" s="4">
        <v>121773.8654328681</v>
      </c>
      <c r="S50" s="4">
        <v>127755.1482450748</v>
      </c>
      <c r="T50" s="4">
        <v>133394.56524684</v>
      </c>
      <c r="U50" s="4">
        <v>138662.8816283438</v>
      </c>
      <c r="V50" s="4">
        <v>143542.3160908445</v>
      </c>
      <c r="W50" s="4">
        <v>148025.6605079436</v>
      </c>
      <c r="X50" s="4">
        <v>152114.9695851151</v>
      </c>
      <c r="Y50" s="4">
        <v>155820.0015655297</v>
      </c>
      <c r="Z50" s="4">
        <v>159156.5728875945</v>
      </c>
      <c r="AA50" s="4">
        <v>162144.9574422089</v>
      </c>
      <c r="AB50" s="4">
        <v>164808.4233149302</v>
      </c>
      <c r="AC50" s="4">
        <v>167171.9633343238</v>
      </c>
      <c r="AD50" s="4">
        <v>169261.2446157333</v>
      </c>
      <c r="AE50" s="4">
        <v>171101.7785195025</v>
      </c>
      <c r="AF50" s="4">
        <v>172718.29622142</v>
      </c>
      <c r="AG50" s="4">
        <v>174134.305525231</v>
      </c>
      <c r="AH50" s="4">
        <v>175371.8002305643</v>
      </c>
      <c r="AI50" s="4">
        <v>176451.0928106095</v>
      </c>
      <c r="AJ50" s="4">
        <v>177390.7430132375</v>
      </c>
      <c r="AK50" s="4">
        <v>178207.5582051922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spans="1:85">
      <c r="A51" t="s">
        <v>83</v>
      </c>
      <c r="B51" s="4">
        <v>47495.40601087923</v>
      </c>
      <c r="C51" s="4">
        <v>54025.68038358382</v>
      </c>
      <c r="D51" s="4">
        <v>61277.30488552278</v>
      </c>
      <c r="E51" s="4">
        <v>69281.30216279486</v>
      </c>
      <c r="F51" s="4">
        <v>78056.84743709986</v>
      </c>
      <c r="G51" s="4">
        <v>87608.04642522256</v>
      </c>
      <c r="H51" s="4">
        <v>97920.88032788376</v>
      </c>
      <c r="I51" s="4">
        <v>108960.6366340799</v>
      </c>
      <c r="J51" s="4">
        <v>120670.1801948067</v>
      </c>
      <c r="K51" s="4">
        <v>132969.4096187212</v>
      </c>
      <c r="L51" s="4">
        <v>145756.1761429689</v>
      </c>
      <c r="M51" s="4">
        <v>158908.8122330559</v>
      </c>
      <c r="N51" s="4">
        <v>172290.2362411119</v>
      </c>
      <c r="O51" s="4">
        <v>185753.3940409803</v>
      </c>
      <c r="P51" s="4">
        <v>199147.6066660972</v>
      </c>
      <c r="Q51" s="4">
        <v>212325.2549839814</v>
      </c>
      <c r="R51" s="4">
        <v>225148.179600691</v>
      </c>
      <c r="S51" s="4">
        <v>237493.2188867236</v>
      </c>
      <c r="T51" s="4">
        <v>249256.4397599869</v>
      </c>
      <c r="U51" s="4">
        <v>260355.8046859346</v>
      </c>
      <c r="V51" s="4">
        <v>270732.2242016849</v>
      </c>
      <c r="W51" s="4">
        <v>280349.1285205545</v>
      </c>
      <c r="X51" s="4">
        <v>289190.8266723623</v>
      </c>
      <c r="Y51" s="4">
        <v>297259.994859172</v>
      </c>
      <c r="Z51" s="4">
        <v>304574.6496699178</v>
      </c>
      <c r="AA51" s="4">
        <v>311164.9292696957</v>
      </c>
      <c r="AB51" s="4">
        <v>317069.9440744084</v>
      </c>
      <c r="AC51" s="4">
        <v>322334.8847929084</v>
      </c>
      <c r="AD51" s="4">
        <v>327008.5035590723</v>
      </c>
      <c r="AE51" s="4">
        <v>331141.0218655656</v>
      </c>
      <c r="AF51" s="4">
        <v>334782.4712562157</v>
      </c>
      <c r="AG51" s="4">
        <v>337981.4398272071</v>
      </c>
      <c r="AH51" s="4">
        <v>340784.1778997937</v>
      </c>
      <c r="AI51" s="4">
        <v>343234.0070587365</v>
      </c>
      <c r="AJ51" s="4">
        <v>345370.9751682692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spans="1:85">
      <c r="A52" t="s">
        <v>84</v>
      </c>
      <c r="B52" s="4">
        <v>80714.45458987965</v>
      </c>
      <c r="C52" s="4">
        <v>91406.84916900432</v>
      </c>
      <c r="D52" s="4">
        <v>103170.2828839799</v>
      </c>
      <c r="E52" s="4">
        <v>116021.6801494887</v>
      </c>
      <c r="F52" s="4">
        <v>129954.6385640867</v>
      </c>
      <c r="G52" s="4">
        <v>144935.4232223089</v>
      </c>
      <c r="H52" s="4">
        <v>160899.8872680941</v>
      </c>
      <c r="I52" s="4">
        <v>177751.8185891534</v>
      </c>
      <c r="J52" s="4">
        <v>195363.160154298</v>
      </c>
      <c r="K52" s="4">
        <v>213576.4123897949</v>
      </c>
      <c r="L52" s="4">
        <v>232209.3048075108</v>
      </c>
      <c r="M52" s="4">
        <v>251061.5473383121</v>
      </c>
      <c r="N52" s="4">
        <v>269923.1859261355</v>
      </c>
      <c r="O52" s="4">
        <v>288583.8487943852</v>
      </c>
      <c r="P52" s="4">
        <v>306842.0316773092</v>
      </c>
      <c r="Q52" s="4">
        <v>324513.564175675</v>
      </c>
      <c r="R52" s="4">
        <v>341438.5266929511</v>
      </c>
      <c r="S52" s="4">
        <v>357486.1185927669</v>
      </c>
      <c r="T52" s="4">
        <v>372557.2622271469</v>
      </c>
      <c r="U52" s="4">
        <v>386585.0071744214</v>
      </c>
      <c r="V52" s="4">
        <v>399533.026541209</v>
      </c>
      <c r="W52" s="4">
        <v>411392.6440653624</v>
      </c>
      <c r="X52" s="4">
        <v>422178.8905376015</v>
      </c>
      <c r="Y52" s="4">
        <v>431926.0723241153</v>
      </c>
      <c r="Z52" s="4">
        <v>440683.2656692514</v>
      </c>
      <c r="AA52" s="4">
        <v>448510.052898387</v>
      </c>
      <c r="AB52" s="4">
        <v>455472.7124395851</v>
      </c>
      <c r="AC52" s="4">
        <v>461640.979368</v>
      </c>
      <c r="AD52" s="4">
        <v>467085.4157924852</v>
      </c>
      <c r="AE52" s="4">
        <v>471875.3739313725</v>
      </c>
      <c r="AF52" s="4">
        <v>476077.498219608</v>
      </c>
      <c r="AG52" s="4">
        <v>479754.6930420978</v>
      </c>
      <c r="AH52" s="4">
        <v>482965.4756313788</v>
      </c>
      <c r="AI52" s="4">
        <v>485763.635317445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spans="1:85">
      <c r="A53" t="s">
        <v>85</v>
      </c>
      <c r="B53" s="4">
        <v>71428.50068963518</v>
      </c>
      <c r="C53" s="4">
        <v>81225.99022594806</v>
      </c>
      <c r="D53" s="4">
        <v>92099.12030910996</v>
      </c>
      <c r="E53" s="4">
        <v>104092.2894219226</v>
      </c>
      <c r="F53" s="4">
        <v>117231.8186622896</v>
      </c>
      <c r="G53" s="4">
        <v>131521.178193794</v>
      </c>
      <c r="H53" s="4">
        <v>146936.507308538</v>
      </c>
      <c r="I53" s="4">
        <v>163422.9089119792</v>
      </c>
      <c r="J53" s="4">
        <v>180892.0463646933</v>
      </c>
      <c r="K53" s="4">
        <v>199221.5482994513</v>
      </c>
      <c r="L53" s="4">
        <v>218256.616554656</v>
      </c>
      <c r="M53" s="4">
        <v>237814.0305298919</v>
      </c>
      <c r="N53" s="4">
        <v>257688.4668273635</v>
      </c>
      <c r="O53" s="4">
        <v>277660.7475805247</v>
      </c>
      <c r="P53" s="4">
        <v>297507.3518778642</v>
      </c>
      <c r="Q53" s="4">
        <v>317010.3314608816</v>
      </c>
      <c r="R53" s="4">
        <v>335966.708404114</v>
      </c>
      <c r="S53" s="4">
        <v>354196.5136753084</v>
      </c>
      <c r="T53" s="4">
        <v>371548.8322995587</v>
      </c>
      <c r="U53" s="4">
        <v>387905.506521347</v>
      </c>
      <c r="V53" s="4">
        <v>403182.4528729136</v>
      </c>
      <c r="W53" s="4">
        <v>417328.8162637939</v>
      </c>
      <c r="X53" s="4">
        <v>430324.3751618987</v>
      </c>
      <c r="Y53" s="4">
        <v>442175.7108256982</v>
      </c>
      <c r="Z53" s="4">
        <v>452911.6659346501</v>
      </c>
      <c r="AA53" s="4">
        <v>462578.5639188972</v>
      </c>
      <c r="AB53" s="4">
        <v>471235.5658976258</v>
      </c>
      <c r="AC53" s="4">
        <v>478950.4323134413</v>
      </c>
      <c r="AD53" s="4">
        <v>485795.8504045422</v>
      </c>
      <c r="AE53" s="4">
        <v>491846.3987055108</v>
      </c>
      <c r="AF53" s="4">
        <v>497176.1512696233</v>
      </c>
      <c r="AG53" s="4">
        <v>501856.8777031644</v>
      </c>
      <c r="AH53" s="4">
        <v>505956.7677384809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spans="1:85">
      <c r="A54" t="s">
        <v>86</v>
      </c>
      <c r="B54" s="4">
        <v>32368.2251641345</v>
      </c>
      <c r="C54" s="4">
        <v>36622.25666348003</v>
      </c>
      <c r="D54" s="4">
        <v>41293.3404733549</v>
      </c>
      <c r="E54" s="4">
        <v>46385.61362633571</v>
      </c>
      <c r="F54" s="4">
        <v>51893.71982211711</v>
      </c>
      <c r="G54" s="4">
        <v>57801.34254399468</v>
      </c>
      <c r="H54" s="4">
        <v>64080.15210880746</v>
      </c>
      <c r="I54" s="4">
        <v>70689.35748258721</v>
      </c>
      <c r="J54" s="4">
        <v>77576.02408619817</v>
      </c>
      <c r="K54" s="4">
        <v>84676.25537458318</v>
      </c>
      <c r="L54" s="4">
        <v>91917.24282732415</v>
      </c>
      <c r="M54" s="4">
        <v>99220.07880119754</v>
      </c>
      <c r="N54" s="4">
        <v>106503.1190851348</v>
      </c>
      <c r="O54" s="4">
        <v>113685.5991131949</v>
      </c>
      <c r="P54" s="4">
        <v>120691.1681752682</v>
      </c>
      <c r="Q54" s="4">
        <v>127451.0188629762</v>
      </c>
      <c r="R54" s="4">
        <v>133906.3513646347</v>
      </c>
      <c r="S54" s="4">
        <v>140010.0097514717</v>
      </c>
      <c r="T54" s="4">
        <v>145727.2389951793</v>
      </c>
      <c r="U54" s="4">
        <v>151035.6154973045</v>
      </c>
      <c r="V54" s="4">
        <v>155924.2837505168</v>
      </c>
      <c r="W54" s="4">
        <v>160392.6788390467</v>
      </c>
      <c r="X54" s="4">
        <v>164448.9285573039</v>
      </c>
      <c r="Y54" s="4">
        <v>168108.1159559729</v>
      </c>
      <c r="Z54" s="4">
        <v>171390.5522753446</v>
      </c>
      <c r="AA54" s="4">
        <v>174320.1709771397</v>
      </c>
      <c r="AB54" s="4">
        <v>176923.1137680488</v>
      </c>
      <c r="AC54" s="4">
        <v>179226.5444052096</v>
      </c>
      <c r="AD54" s="4">
        <v>181257.6984106509</v>
      </c>
      <c r="AE54" s="4">
        <v>183043.1572720621</v>
      </c>
      <c r="AF54" s="4">
        <v>184608.323589564</v>
      </c>
      <c r="AG54" s="4">
        <v>185977.0675577887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spans="1:85">
      <c r="A55" t="s">
        <v>87</v>
      </c>
      <c r="B55" s="4">
        <v>47555.42917765355</v>
      </c>
      <c r="C55" s="4">
        <v>53979.44547906245</v>
      </c>
      <c r="D55" s="4">
        <v>61081.27884125304</v>
      </c>
      <c r="E55" s="4">
        <v>68881.36969084728</v>
      </c>
      <c r="F55" s="4">
        <v>77387.19530682638</v>
      </c>
      <c r="G55" s="4">
        <v>86590.42827270534</v>
      </c>
      <c r="H55" s="4">
        <v>96464.45887106056</v>
      </c>
      <c r="I55" s="4">
        <v>106962.5987402663</v>
      </c>
      <c r="J55" s="4">
        <v>118017.2863457162</v>
      </c>
      <c r="K55" s="4">
        <v>129540.5673016794</v>
      </c>
      <c r="L55" s="4">
        <v>141426.0183814267</v>
      </c>
      <c r="M55" s="4">
        <v>153552.129561361</v>
      </c>
      <c r="N55" s="4">
        <v>165786.9743565213</v>
      </c>
      <c r="O55" s="4">
        <v>177993.8175592122</v>
      </c>
      <c r="P55" s="4">
        <v>190037.1684192646</v>
      </c>
      <c r="Q55" s="4">
        <v>201788.717792005</v>
      </c>
      <c r="R55" s="4">
        <v>213132.6160343664</v>
      </c>
      <c r="S55" s="4">
        <v>223969.6501540681</v>
      </c>
      <c r="T55" s="4">
        <v>234220.0405113882</v>
      </c>
      <c r="U55" s="4">
        <v>243824.7641562615</v>
      </c>
      <c r="V55" s="4">
        <v>252745.4872660682</v>
      </c>
      <c r="W55" s="4">
        <v>260963.3248046763</v>
      </c>
      <c r="X55" s="4">
        <v>268476.7265766963</v>
      </c>
      <c r="Y55" s="4">
        <v>275298.8143826247</v>
      </c>
      <c r="Z55" s="4">
        <v>281454.474695689</v>
      </c>
      <c r="AA55" s="4">
        <v>286977.4604230816</v>
      </c>
      <c r="AB55" s="4">
        <v>291907.6898197178</v>
      </c>
      <c r="AC55" s="4">
        <v>296288.8637525579</v>
      </c>
      <c r="AD55" s="4">
        <v>300166.4632911077</v>
      </c>
      <c r="AE55" s="4">
        <v>303586.1427402779</v>
      </c>
      <c r="AF55" s="4">
        <v>306592.4999730309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</row>
    <row r="56" spans="1:85">
      <c r="A56" t="s">
        <v>88</v>
      </c>
      <c r="B56" s="4">
        <v>73216.71726621781</v>
      </c>
      <c r="C56" s="4">
        <v>83182.90610334091</v>
      </c>
      <c r="D56" s="4">
        <v>94221.815091789</v>
      </c>
      <c r="E56" s="4">
        <v>106371.7577216381</v>
      </c>
      <c r="F56" s="4">
        <v>119651.7438471586</v>
      </c>
      <c r="G56" s="4">
        <v>134056.8373885879</v>
      </c>
      <c r="H56" s="4">
        <v>149553.9490877988</v>
      </c>
      <c r="I56" s="4">
        <v>166078.5578768707</v>
      </c>
      <c r="J56" s="4">
        <v>183532.8809694751</v>
      </c>
      <c r="K56" s="4">
        <v>201785.9639111477</v>
      </c>
      <c r="L56" s="4">
        <v>220676.0232458326</v>
      </c>
      <c r="M56" s="4">
        <v>240015.1496042992</v>
      </c>
      <c r="N56" s="4">
        <v>259596.1939267768</v>
      </c>
      <c r="O56" s="4">
        <v>279201.3613163469</v>
      </c>
      <c r="P56" s="4">
        <v>298611.7845262015</v>
      </c>
      <c r="Q56" s="4">
        <v>317617.1974646413</v>
      </c>
      <c r="R56" s="4">
        <v>336024.8133604196</v>
      </c>
      <c r="S56" s="4">
        <v>353666.6360745996</v>
      </c>
      <c r="T56" s="4">
        <v>370404.6676756995</v>
      </c>
      <c r="U56" s="4">
        <v>386133.7687585602</v>
      </c>
      <c r="V56" s="4">
        <v>400782.2205975171</v>
      </c>
      <c r="W56" s="4">
        <v>414310.2793257877</v>
      </c>
      <c r="X56" s="4">
        <v>426707.1708703153</v>
      </c>
      <c r="Y56" s="4">
        <v>437987.0431964647</v>
      </c>
      <c r="Z56" s="4">
        <v>448184.3805600923</v>
      </c>
      <c r="AA56" s="4">
        <v>457349.3154827902</v>
      </c>
      <c r="AB56" s="4">
        <v>465543.1739732617</v>
      </c>
      <c r="AC56" s="4">
        <v>472834.4811196674</v>
      </c>
      <c r="AD56" s="4">
        <v>479295.5542772055</v>
      </c>
      <c r="AE56" s="4">
        <v>484999.7293019843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spans="1:85">
      <c r="A57" t="s">
        <v>89</v>
      </c>
      <c r="B57" s="4">
        <v>21632.43282159747</v>
      </c>
      <c r="C57" s="4">
        <v>24722.11216183783</v>
      </c>
      <c r="D57" s="4">
        <v>28187.21420631586</v>
      </c>
      <c r="E57" s="4">
        <v>32054.18632834451</v>
      </c>
      <c r="F57" s="4">
        <v>36345.8932849178</v>
      </c>
      <c r="G57" s="4">
        <v>41079.92019046868</v>
      </c>
      <c r="H57" s="4">
        <v>46266.72576079547</v>
      </c>
      <c r="I57" s="4">
        <v>51907.75646355482</v>
      </c>
      <c r="J57" s="4">
        <v>57993.67532479312</v>
      </c>
      <c r="K57" s="4">
        <v>64502.89509571286</v>
      </c>
      <c r="L57" s="4">
        <v>71400.62427021826</v>
      </c>
      <c r="M57" s="4">
        <v>78638.62587107329</v>
      </c>
      <c r="N57" s="4">
        <v>86155.84556245626</v>
      </c>
      <c r="O57" s="4">
        <v>93879.98617817293</v>
      </c>
      <c r="P57" s="4">
        <v>101729.9975138301</v>
      </c>
      <c r="Q57" s="4">
        <v>109619.3295824429</v>
      </c>
      <c r="R57" s="4">
        <v>117459.6871556605</v>
      </c>
      <c r="S57" s="4">
        <v>125164.9467494789</v>
      </c>
      <c r="T57" s="4">
        <v>132654.8717118185</v>
      </c>
      <c r="U57" s="4">
        <v>139858.2927170173</v>
      </c>
      <c r="V57" s="4">
        <v>146715.5023518871</v>
      </c>
      <c r="W57" s="4">
        <v>153179.7251711844</v>
      </c>
      <c r="X57" s="4">
        <v>159217.6449202934</v>
      </c>
      <c r="Y57" s="4">
        <v>164809.0763540316</v>
      </c>
      <c r="Z57" s="4">
        <v>169945.9447751511</v>
      </c>
      <c r="AA57" s="4">
        <v>174630.7757566089</v>
      </c>
      <c r="AB57" s="4">
        <v>178874.9026403994</v>
      </c>
      <c r="AC57" s="4">
        <v>182696.5782188168</v>
      </c>
      <c r="AD57" s="4">
        <v>186119.1398003811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</row>
    <row r="58" spans="1:85">
      <c r="A58" t="s">
        <v>90</v>
      </c>
      <c r="B58" s="4">
        <v>102803.9802209412</v>
      </c>
      <c r="C58" s="4">
        <v>116263.1626925269</v>
      </c>
      <c r="D58" s="4">
        <v>131028.0009793457</v>
      </c>
      <c r="E58" s="4">
        <v>147107.6949952469</v>
      </c>
      <c r="F58" s="4">
        <v>164481.1246205258</v>
      </c>
      <c r="G58" s="4">
        <v>183092.408529754</v>
      </c>
      <c r="H58" s="4">
        <v>202847.8381512122</v>
      </c>
      <c r="I58" s="4">
        <v>223614.776157768</v>
      </c>
      <c r="J58" s="4">
        <v>245223.0022730041</v>
      </c>
      <c r="K58" s="4">
        <v>267468.7771486026</v>
      </c>
      <c r="L58" s="4">
        <v>290121.5940909035</v>
      </c>
      <c r="M58" s="4">
        <v>312933.2414748565</v>
      </c>
      <c r="N58" s="4">
        <v>335648.4690979806</v>
      </c>
      <c r="O58" s="4">
        <v>358016.3083052576</v>
      </c>
      <c r="P58" s="4">
        <v>379800.9933487155</v>
      </c>
      <c r="Q58" s="4">
        <v>400791.4940936503</v>
      </c>
      <c r="R58" s="4">
        <v>420808.8831249867</v>
      </c>
      <c r="S58" s="4">
        <v>439711.074922491</v>
      </c>
      <c r="T58" s="4">
        <v>457394.8238333448</v>
      </c>
      <c r="U58" s="4">
        <v>473795.1847637265</v>
      </c>
      <c r="V58" s="4">
        <v>488882.8769251559</v>
      </c>
      <c r="W58" s="4">
        <v>502660.1235648958</v>
      </c>
      <c r="X58" s="4">
        <v>515155.5716885701</v>
      </c>
      <c r="Y58" s="4">
        <v>526418.8459312597</v>
      </c>
      <c r="Z58" s="4">
        <v>536515.1891731896</v>
      </c>
      <c r="AA58" s="4">
        <v>545520.5184202952</v>
      </c>
      <c r="AB58" s="4">
        <v>553517.1013432095</v>
      </c>
      <c r="AC58" s="4">
        <v>560589.952063728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</row>
    <row r="59" spans="1:85">
      <c r="A59" t="s">
        <v>91</v>
      </c>
      <c r="B59" s="4">
        <v>39113.9611279553</v>
      </c>
      <c r="C59" s="4">
        <v>44599.210576813</v>
      </c>
      <c r="D59" s="4">
        <v>50721.47823601261</v>
      </c>
      <c r="E59" s="4">
        <v>57517.255279472</v>
      </c>
      <c r="F59" s="4">
        <v>65014.72611179029</v>
      </c>
      <c r="G59" s="4">
        <v>73230.84051952223</v>
      </c>
      <c r="H59" s="4">
        <v>82168.31811376908</v>
      </c>
      <c r="I59" s="4">
        <v>91812.82742830056</v>
      </c>
      <c r="J59" s="4">
        <v>102130.6396295305</v>
      </c>
      <c r="K59" s="4">
        <v>113067.0875757189</v>
      </c>
      <c r="L59" s="4">
        <v>124546.1487047855</v>
      </c>
      <c r="M59" s="4">
        <v>136471.402950488</v>
      </c>
      <c r="N59" s="4">
        <v>148728.4921634592</v>
      </c>
      <c r="O59" s="4">
        <v>161189.0365976367</v>
      </c>
      <c r="P59" s="4">
        <v>173715.7725452887</v>
      </c>
      <c r="Q59" s="4">
        <v>186168.4990046619</v>
      </c>
      <c r="R59" s="4">
        <v>198410.2976722656</v>
      </c>
      <c r="S59" s="4">
        <v>210313.4476581347</v>
      </c>
      <c r="T59" s="4">
        <v>221764.5041938528</v>
      </c>
      <c r="U59" s="4">
        <v>232668.1380147806</v>
      </c>
      <c r="V59" s="4">
        <v>242949.5101726726</v>
      </c>
      <c r="W59" s="4">
        <v>252555.1482457047</v>
      </c>
      <c r="X59" s="4">
        <v>261452.4587960864</v>
      </c>
      <c r="Y59" s="4">
        <v>269628.1325922077</v>
      </c>
      <c r="Z59" s="4">
        <v>277085.76313653</v>
      </c>
      <c r="AA59" s="4">
        <v>283843.00850925</v>
      </c>
      <c r="AB59" s="4">
        <v>289928.5938126415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</row>
    <row r="60" spans="1:85">
      <c r="A60" t="s">
        <v>92</v>
      </c>
      <c r="B60" s="4">
        <v>42154.02462947531</v>
      </c>
      <c r="C60" s="4">
        <v>47897.4755929083</v>
      </c>
      <c r="D60" s="4">
        <v>54260.66436300768</v>
      </c>
      <c r="E60" s="4">
        <v>61266.15642913263</v>
      </c>
      <c r="F60" s="4">
        <v>68925.45517384993</v>
      </c>
      <c r="G60" s="4">
        <v>77236.31047775588</v>
      </c>
      <c r="H60" s="4">
        <v>86180.26842207572</v>
      </c>
      <c r="I60" s="4">
        <v>95720.74638835216</v>
      </c>
      <c r="J60" s="4">
        <v>105801.9347059331</v>
      </c>
      <c r="K60" s="4">
        <v>116348.7996804989</v>
      </c>
      <c r="L60" s="4">
        <v>127268.3847661878</v>
      </c>
      <c r="M60" s="4">
        <v>138452.4783204786</v>
      </c>
      <c r="N60" s="4">
        <v>149781.5523318948</v>
      </c>
      <c r="O60" s="4">
        <v>161129.703589496</v>
      </c>
      <c r="P60" s="4">
        <v>172370.1809091507</v>
      </c>
      <c r="Q60" s="4">
        <v>183380.991440917</v>
      </c>
      <c r="R60" s="4">
        <v>194050.066637461</v>
      </c>
      <c r="S60" s="4">
        <v>204279.5370953324</v>
      </c>
      <c r="T60" s="4">
        <v>213988.7992116561</v>
      </c>
      <c r="U60" s="4">
        <v>223116.225681408</v>
      </c>
      <c r="V60" s="4">
        <v>231619.5418493767</v>
      </c>
      <c r="W60" s="4">
        <v>239475.0310988421</v>
      </c>
      <c r="X60" s="4">
        <v>246675.8263081734</v>
      </c>
      <c r="Y60" s="4">
        <v>253229.5857079577</v>
      </c>
      <c r="Z60" s="4">
        <v>259155.8462393646</v>
      </c>
      <c r="AA60" s="4">
        <v>264483.308630699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</row>
    <row r="61" spans="1:85">
      <c r="A61" t="s">
        <v>93</v>
      </c>
      <c r="B61" s="4">
        <v>62282.58870578992</v>
      </c>
      <c r="C61" s="4">
        <v>70820.4269855905</v>
      </c>
      <c r="D61" s="4">
        <v>80294.15788430636</v>
      </c>
      <c r="E61" s="4">
        <v>90742.00210269976</v>
      </c>
      <c r="F61" s="4">
        <v>102186.3619863276</v>
      </c>
      <c r="G61" s="4">
        <v>114629.6753842515</v>
      </c>
      <c r="H61" s="4">
        <v>128050.5347606133</v>
      </c>
      <c r="I61" s="4">
        <v>142400.4910405119</v>
      </c>
      <c r="J61" s="4">
        <v>157602.0013090039</v>
      </c>
      <c r="K61" s="4">
        <v>173547.9582366111</v>
      </c>
      <c r="L61" s="4">
        <v>190103.140972144</v>
      </c>
      <c r="M61" s="4">
        <v>207107.7498911867</v>
      </c>
      <c r="N61" s="4">
        <v>224382.9478506887</v>
      </c>
      <c r="O61" s="4">
        <v>241738.0650868755</v>
      </c>
      <c r="P61" s="4">
        <v>258978.8837826361</v>
      </c>
      <c r="Q61" s="4">
        <v>275916.2529884018</v>
      </c>
      <c r="R61" s="4">
        <v>292374.2326991105</v>
      </c>
      <c r="S61" s="4">
        <v>308197.0396557731</v>
      </c>
      <c r="T61" s="4">
        <v>323254.2495757831</v>
      </c>
      <c r="U61" s="4">
        <v>337443.9598742744</v>
      </c>
      <c r="V61" s="4">
        <v>350693.8812821977</v>
      </c>
      <c r="W61" s="4">
        <v>362960.5575689795</v>
      </c>
      <c r="X61" s="4">
        <v>374227.0764930396</v>
      </c>
      <c r="Y61" s="4">
        <v>384499.7189233772</v>
      </c>
      <c r="Z61" s="4">
        <v>393804.0020569529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spans="1:85">
      <c r="A62" t="s">
        <v>94</v>
      </c>
      <c r="B62" s="4">
        <v>61680.64177041251</v>
      </c>
      <c r="C62" s="4">
        <v>70078.2914066079</v>
      </c>
      <c r="D62" s="4">
        <v>79380.31685306218</v>
      </c>
      <c r="E62" s="4">
        <v>89619.15535052952</v>
      </c>
      <c r="F62" s="4">
        <v>100810.9983148865</v>
      </c>
      <c r="G62" s="4">
        <v>112951.8745525375</v>
      </c>
      <c r="H62" s="4">
        <v>126014.0970144707</v>
      </c>
      <c r="I62" s="4">
        <v>139943.4889321142</v>
      </c>
      <c r="J62" s="4">
        <v>154657.8280421777</v>
      </c>
      <c r="K62" s="4">
        <v>170046.9070105997</v>
      </c>
      <c r="L62" s="4">
        <v>185974.4919620328</v>
      </c>
      <c r="M62" s="4">
        <v>202282.2719515137</v>
      </c>
      <c r="N62" s="4">
        <v>218795.6520640606</v>
      </c>
      <c r="O62" s="4">
        <v>235330.9912052733</v>
      </c>
      <c r="P62" s="4">
        <v>251703.6721455572</v>
      </c>
      <c r="Q62" s="4">
        <v>267736.2626061841</v>
      </c>
      <c r="R62" s="4">
        <v>283266.0118471882</v>
      </c>
      <c r="S62" s="4">
        <v>298151.0307090887</v>
      </c>
      <c r="T62" s="4">
        <v>312274.7003012071</v>
      </c>
      <c r="U62" s="4">
        <v>325548.101734872</v>
      </c>
      <c r="V62" s="4">
        <v>337910.5062922278</v>
      </c>
      <c r="W62" s="4">
        <v>349328.16928165</v>
      </c>
      <c r="X62" s="4">
        <v>359791.8052014508</v>
      </c>
      <c r="Y62" s="4">
        <v>369313.1796811317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spans="1:85">
      <c r="A63" t="s">
        <v>95</v>
      </c>
      <c r="B63" s="4">
        <v>64479.00035219204</v>
      </c>
      <c r="C63" s="4">
        <v>73324.72017836495</v>
      </c>
      <c r="D63" s="4">
        <v>83142.00023345579</v>
      </c>
      <c r="E63" s="4">
        <v>93971.05911839596</v>
      </c>
      <c r="F63" s="4">
        <v>105835.812720095</v>
      </c>
      <c r="G63" s="4">
        <v>118739.5605352111</v>
      </c>
      <c r="H63" s="4">
        <v>132660.9344191746</v>
      </c>
      <c r="I63" s="4">
        <v>147550.5437179867</v>
      </c>
      <c r="J63" s="4">
        <v>163328.7936916211</v>
      </c>
      <c r="K63" s="4">
        <v>179885.3344992244</v>
      </c>
      <c r="L63" s="4">
        <v>197080.4988003604</v>
      </c>
      <c r="M63" s="4">
        <v>214748.9042183438</v>
      </c>
      <c r="N63" s="4">
        <v>232705.1493003372</v>
      </c>
      <c r="O63" s="4">
        <v>250751.2556343595</v>
      </c>
      <c r="P63" s="4">
        <v>268685.2563262946</v>
      </c>
      <c r="Q63" s="4">
        <v>286310.1557203945</v>
      </c>
      <c r="R63" s="4">
        <v>303442.4269664897</v>
      </c>
      <c r="S63" s="4">
        <v>319919.2864795353</v>
      </c>
      <c r="T63" s="4">
        <v>335604.170524049</v>
      </c>
      <c r="U63" s="4">
        <v>350390.0969494312</v>
      </c>
      <c r="V63" s="4">
        <v>364200.8703188774</v>
      </c>
      <c r="W63" s="4">
        <v>376990.3305027325</v>
      </c>
      <c r="X63" s="4">
        <v>388740.0179195596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</row>
    <row r="64" spans="1:85">
      <c r="A64" t="s">
        <v>96</v>
      </c>
      <c r="B64" s="4">
        <v>67221.51567641622</v>
      </c>
      <c r="C64" s="4">
        <v>76313.43620989376</v>
      </c>
      <c r="D64" s="4">
        <v>86367.81102138112</v>
      </c>
      <c r="E64" s="4">
        <v>97414.53926768887</v>
      </c>
      <c r="F64" s="4">
        <v>109465.2873230638</v>
      </c>
      <c r="G64" s="4">
        <v>122509.4310891836</v>
      </c>
      <c r="H64" s="4">
        <v>136510.494516419</v>
      </c>
      <c r="I64" s="4">
        <v>151403.5339691904</v>
      </c>
      <c r="J64" s="4">
        <v>167093.9258509844</v>
      </c>
      <c r="K64" s="4">
        <v>183457.951265078</v>
      </c>
      <c r="L64" s="4">
        <v>200345.4272564138</v>
      </c>
      <c r="M64" s="4">
        <v>217584.4174529541</v>
      </c>
      <c r="N64" s="4">
        <v>234987.794145393</v>
      </c>
      <c r="O64" s="4">
        <v>252361.1646520437</v>
      </c>
      <c r="P64" s="4">
        <v>269511.4700369214</v>
      </c>
      <c r="Q64" s="4">
        <v>286255.4594456726</v>
      </c>
      <c r="R64" s="4">
        <v>302427.2628967675</v>
      </c>
      <c r="S64" s="4">
        <v>317884.4247059936</v>
      </c>
      <c r="T64" s="4">
        <v>332511.9867146339</v>
      </c>
      <c r="U64" s="4">
        <v>346224.4757214822</v>
      </c>
      <c r="V64" s="4">
        <v>358965.9009564804</v>
      </c>
      <c r="W64" s="4">
        <v>370708.0639590757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spans="1:85">
      <c r="A65" t="s">
        <v>97</v>
      </c>
      <c r="B65" s="4">
        <v>95533.01239186144</v>
      </c>
      <c r="C65" s="4">
        <v>108925.5137963199</v>
      </c>
      <c r="D65" s="4">
        <v>123871.9256385952</v>
      </c>
      <c r="E65" s="4">
        <v>140460.8595601586</v>
      </c>
      <c r="F65" s="4">
        <v>158760.5627444783</v>
      </c>
      <c r="G65" s="4">
        <v>178811.7766415674</v>
      </c>
      <c r="H65" s="4">
        <v>200620.439875758</v>
      </c>
      <c r="I65" s="4">
        <v>224150.8287503283</v>
      </c>
      <c r="J65" s="4">
        <v>249319.8682760273</v>
      </c>
      <c r="K65" s="4">
        <v>275993.4201050676</v>
      </c>
      <c r="L65" s="4">
        <v>303985.3216824835</v>
      </c>
      <c r="M65" s="4">
        <v>333059.7844409237</v>
      </c>
      <c r="N65" s="4">
        <v>362937.4525886871</v>
      </c>
      <c r="O65" s="4">
        <v>393305.0060348523</v>
      </c>
      <c r="P65" s="4">
        <v>423827.7242877516</v>
      </c>
      <c r="Q65" s="4">
        <v>454164.0003606957</v>
      </c>
      <c r="R65" s="4">
        <v>483980.495605771</v>
      </c>
      <c r="S65" s="4">
        <v>512966.5257908896</v>
      </c>
      <c r="T65" s="4">
        <v>540846.3892546113</v>
      </c>
      <c r="U65" s="4">
        <v>567388.661367056</v>
      </c>
      <c r="V65" s="4">
        <v>592411.9148310286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spans="1:85">
      <c r="A66" t="s">
        <v>98</v>
      </c>
      <c r="B66" s="4">
        <v>70413.33581890824</v>
      </c>
      <c r="C66" s="4">
        <v>79864.82770738011</v>
      </c>
      <c r="D66" s="4">
        <v>90296.9957871424</v>
      </c>
      <c r="E66" s="4">
        <v>101734.8510874963</v>
      </c>
      <c r="F66" s="4">
        <v>114183.7656299878</v>
      </c>
      <c r="G66" s="4">
        <v>127625.4898773387</v>
      </c>
      <c r="H66" s="4">
        <v>142014.8030187143</v>
      </c>
      <c r="I66" s="4">
        <v>157277.2580976239</v>
      </c>
      <c r="J66" s="4">
        <v>173308.4717987425</v>
      </c>
      <c r="K66" s="4">
        <v>189975.3202800648</v>
      </c>
      <c r="L66" s="4">
        <v>207119.2331868871</v>
      </c>
      <c r="M66" s="4">
        <v>224561.542200478</v>
      </c>
      <c r="N66" s="4">
        <v>242110.5727323164</v>
      </c>
      <c r="O66" s="4">
        <v>259569.9172039184</v>
      </c>
      <c r="P66" s="4">
        <v>276747.1483937677</v>
      </c>
      <c r="Q66" s="4">
        <v>293462.1623402854</v>
      </c>
      <c r="R66" s="4">
        <v>309554.3984361315</v>
      </c>
      <c r="S66" s="4">
        <v>324888.3559848285</v>
      </c>
      <c r="T66" s="4">
        <v>339357.0725747363</v>
      </c>
      <c r="U66" s="4">
        <v>352883.4979479097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spans="1:85">
      <c r="A67" t="s">
        <v>99</v>
      </c>
      <c r="B67" s="4">
        <v>30446.19425409367</v>
      </c>
      <c r="C67" s="4">
        <v>34686.30988762085</v>
      </c>
      <c r="D67" s="4">
        <v>39410.31575976453</v>
      </c>
      <c r="E67" s="4">
        <v>44643.50501439857</v>
      </c>
      <c r="F67" s="4">
        <v>50404.26288980897</v>
      </c>
      <c r="G67" s="4">
        <v>56701.85344105205</v>
      </c>
      <c r="H67" s="4">
        <v>63534.21162096156</v>
      </c>
      <c r="I67" s="4">
        <v>70885.93713215399</v>
      </c>
      <c r="J67" s="4">
        <v>78726.72394112377</v>
      </c>
      <c r="K67" s="4">
        <v>87010.47264828828</v>
      </c>
      <c r="L67" s="4">
        <v>95675.31059555218</v>
      </c>
      <c r="M67" s="4">
        <v>104644.6797323099</v>
      </c>
      <c r="N67" s="4">
        <v>113829.5462578072</v>
      </c>
      <c r="O67" s="4">
        <v>123131.6510325818</v>
      </c>
      <c r="P67" s="4">
        <v>132447.5779010252</v>
      </c>
      <c r="Q67" s="4">
        <v>141673.2962977063</v>
      </c>
      <c r="R67" s="4">
        <v>150708.7611560581</v>
      </c>
      <c r="S67" s="4">
        <v>159462.1441201822</v>
      </c>
      <c r="T67" s="4">
        <v>167853.3275022669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spans="1:85">
      <c r="A68" t="s">
        <v>100</v>
      </c>
      <c r="B68" s="4">
        <v>49033.54466832685</v>
      </c>
      <c r="C68" s="4">
        <v>55583.31750104803</v>
      </c>
      <c r="D68" s="4">
        <v>62803.95925880573</v>
      </c>
      <c r="E68" s="4">
        <v>70710.1834698202</v>
      </c>
      <c r="F68" s="4">
        <v>79302.8226709271</v>
      </c>
      <c r="G68" s="4">
        <v>88566.17848234628</v>
      </c>
      <c r="H68" s="4">
        <v>98465.8595732332</v>
      </c>
      <c r="I68" s="4">
        <v>108947.423578724</v>
      </c>
      <c r="J68" s="4">
        <v>119936.1217112579</v>
      </c>
      <c r="K68" s="4">
        <v>131337.9742510911</v>
      </c>
      <c r="L68" s="4">
        <v>143042.2803541191</v>
      </c>
      <c r="M68" s="4">
        <v>154925.4990369682</v>
      </c>
      <c r="N68" s="4">
        <v>166856.2556343135</v>
      </c>
      <c r="O68" s="4">
        <v>178701.0642677984</v>
      </c>
      <c r="P68" s="4">
        <v>190330.2469789058</v>
      </c>
      <c r="Q68" s="4">
        <v>201623.4992744657</v>
      </c>
      <c r="R68" s="4">
        <v>212474.6071772127</v>
      </c>
      <c r="S68" s="4">
        <v>222794.949516535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>
      <c r="A69" t="s">
        <v>101</v>
      </c>
      <c r="B69" s="4">
        <v>78039.86211354316</v>
      </c>
      <c r="C69" s="4">
        <v>88619.18106559578</v>
      </c>
      <c r="D69" s="4">
        <v>100325.1346069678</v>
      </c>
      <c r="E69" s="4">
        <v>113194.6031511958</v>
      </c>
      <c r="F69" s="4">
        <v>127243.5026171004</v>
      </c>
      <c r="G69" s="4">
        <v>142461.9872209924</v>
      </c>
      <c r="H69" s="4">
        <v>158810.1887829945</v>
      </c>
      <c r="I69" s="4">
        <v>176215.0164732895</v>
      </c>
      <c r="J69" s="4">
        <v>194568.5568444341</v>
      </c>
      <c r="K69" s="4">
        <v>213728.5477761696</v>
      </c>
      <c r="L69" s="4">
        <v>233521.2392982274</v>
      </c>
      <c r="M69" s="4">
        <v>253746.7065238745</v>
      </c>
      <c r="N69" s="4">
        <v>274186.376337428</v>
      </c>
      <c r="O69" s="4">
        <v>294612.2221524516</v>
      </c>
      <c r="P69" s="4">
        <v>314796.8319475866</v>
      </c>
      <c r="Q69" s="4">
        <v>334523.4189767901</v>
      </c>
      <c r="R69" s="4">
        <v>353594.8535739568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>
      <c r="A70" t="s">
        <v>102</v>
      </c>
      <c r="B70" s="4">
        <v>84589.03394692518</v>
      </c>
      <c r="C70" s="4">
        <v>95759.02505760903</v>
      </c>
      <c r="D70" s="4">
        <v>108038.2875054545</v>
      </c>
      <c r="E70" s="4">
        <v>121441.7294318874</v>
      </c>
      <c r="F70" s="4">
        <v>135959.6535575103</v>
      </c>
      <c r="G70" s="4">
        <v>151553.7050846719</v>
      </c>
      <c r="H70" s="4">
        <v>168153.8363972068</v>
      </c>
      <c r="I70" s="4">
        <v>185656.8028461096</v>
      </c>
      <c r="J70" s="4">
        <v>203926.6397784534</v>
      </c>
      <c r="K70" s="4">
        <v>222797.4167826279</v>
      </c>
      <c r="L70" s="4">
        <v>242078.3281637284</v>
      </c>
      <c r="M70" s="4">
        <v>261560.8889452544</v>
      </c>
      <c r="N70" s="4">
        <v>281027.7130785633</v>
      </c>
      <c r="O70" s="4">
        <v>300262.1141006125</v>
      </c>
      <c r="P70" s="4">
        <v>319057.6405366516</v>
      </c>
      <c r="Q70" s="4">
        <v>337226.6686156298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spans="1:85">
      <c r="A71" t="s">
        <v>103</v>
      </c>
      <c r="B71" s="4">
        <v>43052.38042200391</v>
      </c>
      <c r="C71" s="4">
        <v>48960.02206932457</v>
      </c>
      <c r="D71" s="4">
        <v>55516.91559916525</v>
      </c>
      <c r="E71" s="4">
        <v>62750.0480383937</v>
      </c>
      <c r="F71" s="4">
        <v>70675.53631671886</v>
      </c>
      <c r="G71" s="4">
        <v>79295.74271103331</v>
      </c>
      <c r="H71" s="4">
        <v>88596.56301195771</v>
      </c>
      <c r="I71" s="4">
        <v>98545.17709214162</v>
      </c>
      <c r="J71" s="4">
        <v>109088.5806254405</v>
      </c>
      <c r="K71" s="4">
        <v>120153.2040763337</v>
      </c>
      <c r="L71" s="4">
        <v>131645.8593224164</v>
      </c>
      <c r="M71" s="4">
        <v>143456.133253736</v>
      </c>
      <c r="N71" s="4">
        <v>155460.1824895835</v>
      </c>
      <c r="O71" s="4">
        <v>167525.6988685848</v>
      </c>
      <c r="P71" s="4">
        <v>179517.6462262944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spans="1:85">
      <c r="A72" t="s">
        <v>104</v>
      </c>
      <c r="B72" s="4">
        <v>53128.71056724828</v>
      </c>
      <c r="C72" s="4">
        <v>60575.3391932378</v>
      </c>
      <c r="D72" s="4">
        <v>68885.60085365064</v>
      </c>
      <c r="E72" s="4">
        <v>78108.6326689807</v>
      </c>
      <c r="F72" s="4">
        <v>88282.22560767298</v>
      </c>
      <c r="G72" s="4">
        <v>99428.85574200816</v>
      </c>
      <c r="H72" s="4">
        <v>111551.6314920291</v>
      </c>
      <c r="I72" s="4">
        <v>124630.4872708559</v>
      </c>
      <c r="J72" s="4">
        <v>138619.0312125845</v>
      </c>
      <c r="K72" s="4">
        <v>153442.4950362791</v>
      </c>
      <c r="L72" s="4">
        <v>168997.2156762271</v>
      </c>
      <c r="M72" s="4">
        <v>185151.9851260378</v>
      </c>
      <c r="N72" s="4">
        <v>201751.4341632322</v>
      </c>
      <c r="O72" s="4">
        <v>218621.3830071804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spans="1:85">
      <c r="A73" t="s">
        <v>105</v>
      </c>
      <c r="B73" s="4">
        <v>25437.9219239467</v>
      </c>
      <c r="C73" s="4">
        <v>28884.92580507134</v>
      </c>
      <c r="D73" s="4">
        <v>32698.6153139005</v>
      </c>
      <c r="E73" s="4">
        <v>36890.88243687481</v>
      </c>
      <c r="F73" s="4">
        <v>41466.77327135949</v>
      </c>
      <c r="G73" s="4">
        <v>46422.92942585085</v>
      </c>
      <c r="H73" s="4">
        <v>51746.20667192822</v>
      </c>
      <c r="I73" s="4">
        <v>57412.64152493986</v>
      </c>
      <c r="J73" s="4">
        <v>63386.94121013777</v>
      </c>
      <c r="K73" s="4">
        <v>69622.65042671042</v>
      </c>
      <c r="L73" s="4">
        <v>76063.09554223671</v>
      </c>
      <c r="M73" s="4">
        <v>82643.12585795361</v>
      </c>
      <c r="N73" s="4">
        <v>89291.57266541065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spans="1:85">
      <c r="A74" t="s">
        <v>106</v>
      </c>
      <c r="B74" s="4">
        <v>98884.35975468636</v>
      </c>
      <c r="C74" s="4">
        <v>112244.5130916596</v>
      </c>
      <c r="D74" s="4">
        <v>127014.994800869</v>
      </c>
      <c r="E74" s="4">
        <v>143238.5184793074</v>
      </c>
      <c r="F74" s="4">
        <v>160930.8617368198</v>
      </c>
      <c r="G74" s="4">
        <v>180074.948962043</v>
      </c>
      <c r="H74" s="4">
        <v>200615.6870364262</v>
      </c>
      <c r="I74" s="4">
        <v>222456.2140555713</v>
      </c>
      <c r="J74" s="4">
        <v>245456.2285132696</v>
      </c>
      <c r="K74" s="4">
        <v>269432.9683383417</v>
      </c>
      <c r="L74" s="4">
        <v>294165.1931446866</v>
      </c>
      <c r="M74" s="4">
        <v>319400.2021497795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</row>
    <row r="75" spans="1:85">
      <c r="A75" t="s">
        <v>107</v>
      </c>
      <c r="B75" s="4">
        <v>115576.144071641</v>
      </c>
      <c r="C75" s="4">
        <v>130819.9789089881</v>
      </c>
      <c r="D75" s="4">
        <v>147572.8099306383</v>
      </c>
      <c r="E75" s="4">
        <v>165853.5953752006</v>
      </c>
      <c r="F75" s="4">
        <v>185647.6002162841</v>
      </c>
      <c r="G75" s="4">
        <v>206900.933867553</v>
      </c>
      <c r="H75" s="4">
        <v>229516.499820673</v>
      </c>
      <c r="I75" s="4">
        <v>253352.0547901521</v>
      </c>
      <c r="J75" s="4">
        <v>278220.9827336688</v>
      </c>
      <c r="K75" s="4">
        <v>303896.174363934</v>
      </c>
      <c r="L75" s="4">
        <v>330117.0766223583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spans="1:85">
      <c r="A76" t="s">
        <v>108</v>
      </c>
      <c r="B76" s="4">
        <v>63579.00182961575</v>
      </c>
      <c r="C76" s="4">
        <v>72162.18146400241</v>
      </c>
      <c r="D76" s="4">
        <v>81649.50918336946</v>
      </c>
      <c r="E76" s="4">
        <v>92067.83695846272</v>
      </c>
      <c r="F76" s="4">
        <v>103426.6433237857</v>
      </c>
      <c r="G76" s="4">
        <v>115714.2540357928</v>
      </c>
      <c r="H76" s="4">
        <v>128894.5579007895</v>
      </c>
      <c r="I76" s="4">
        <v>142904.6414486264</v>
      </c>
      <c r="J76" s="4">
        <v>157653.7689248629</v>
      </c>
      <c r="K76" s="4">
        <v>173024.0688865591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</row>
    <row r="77" spans="1:85">
      <c r="A77" t="s">
        <v>109</v>
      </c>
      <c r="B77" s="4">
        <v>70119.08441276322</v>
      </c>
      <c r="C77" s="4">
        <v>79241.88815298413</v>
      </c>
      <c r="D77" s="4">
        <v>89234.54403683406</v>
      </c>
      <c r="E77" s="4">
        <v>100099.1038108782</v>
      </c>
      <c r="F77" s="4">
        <v>111816.7933154237</v>
      </c>
      <c r="G77" s="4">
        <v>124345.2258877392</v>
      </c>
      <c r="H77" s="4">
        <v>137616.6157688403</v>
      </c>
      <c r="I77" s="4">
        <v>151537.3735097823</v>
      </c>
      <c r="J77" s="4">
        <v>165989.3794384586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spans="1:85">
      <c r="A78" t="s">
        <v>110</v>
      </c>
      <c r="B78" s="4">
        <v>63117.76566487772</v>
      </c>
      <c r="C78" s="4">
        <v>71488.80148307209</v>
      </c>
      <c r="D78" s="4">
        <v>80700.97699719679</v>
      </c>
      <c r="E78" s="4">
        <v>90768.30558116196</v>
      </c>
      <c r="F78" s="4">
        <v>101686.605750304</v>
      </c>
      <c r="G78" s="4">
        <v>113430.3293868107</v>
      </c>
      <c r="H78" s="4">
        <v>125950.101408621</v>
      </c>
      <c r="I78" s="4">
        <v>139171.3642668969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spans="1:85">
      <c r="A79" t="s">
        <v>111</v>
      </c>
      <c r="B79" s="4">
        <v>72334.81404300296</v>
      </c>
      <c r="C79" s="4">
        <v>82208.2846686987</v>
      </c>
      <c r="D79" s="4">
        <v>93152.16255484104</v>
      </c>
      <c r="E79" s="4">
        <v>105206.8356692676</v>
      </c>
      <c r="F79" s="4">
        <v>118393.8838120562</v>
      </c>
      <c r="G79" s="4">
        <v>132711.4003264978</v>
      </c>
      <c r="H79" s="4">
        <v>148129.6965839367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</row>
    <row r="80" spans="1:85">
      <c r="A80" t="s">
        <v>112</v>
      </c>
      <c r="B80" s="4">
        <v>33528.01493778737</v>
      </c>
      <c r="C80" s="4">
        <v>38215.38258548582</v>
      </c>
      <c r="D80" s="4">
        <v>43442.90444558819</v>
      </c>
      <c r="E80" s="4">
        <v>49240.3186195488</v>
      </c>
      <c r="F80" s="4">
        <v>55630.01927969279</v>
      </c>
      <c r="G80" s="4">
        <v>62624.5776059166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</row>
    <row r="81" spans="1:85">
      <c r="A81" t="s">
        <v>113</v>
      </c>
      <c r="B81" s="4">
        <v>71337.15589150215</v>
      </c>
      <c r="C81" s="4">
        <v>81589.97656482557</v>
      </c>
      <c r="D81" s="4">
        <v>93107.77115399273</v>
      </c>
      <c r="E81" s="4">
        <v>105985.348953662</v>
      </c>
      <c r="F81" s="4">
        <v>120307.0707153526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spans="1:85">
      <c r="A82" t="s">
        <v>114</v>
      </c>
      <c r="B82" s="4">
        <v>164787.3816902328</v>
      </c>
      <c r="C82" s="4">
        <v>186832.4673740091</v>
      </c>
      <c r="D82" s="4">
        <v>211144.6372157608</v>
      </c>
      <c r="E82" s="4">
        <v>237776.1260597469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spans="1:85">
      <c r="A83" t="s">
        <v>115</v>
      </c>
      <c r="B83" s="4">
        <v>71406.95454648747</v>
      </c>
      <c r="C83" s="4">
        <v>81413.52269396973</v>
      </c>
      <c r="D83" s="4">
        <v>92580.04276929615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spans="1:85">
      <c r="A84" t="s">
        <v>116</v>
      </c>
      <c r="B84" s="4">
        <v>44363.12508368826</v>
      </c>
      <c r="C84" s="4">
        <v>50420.96036117522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spans="1:85">
      <c r="A85" t="s">
        <v>7</v>
      </c>
      <c r="B85" s="4">
        <v>97464.5294240348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85"/>
  <sheetViews>
    <sheetView workbookViewId="0"/>
  </sheetViews>
  <sheetFormatPr defaultRowHeight="15"/>
  <cols>
    <col min="1" max="1" width="14.7109375" customWidth="1"/>
    <col min="2" max="85" width="10.7109375" customWidth="1"/>
  </cols>
  <sheetData>
    <row r="1" spans="1:85">
      <c r="A1" s="3" t="s">
        <v>33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3">
        <v>65</v>
      </c>
      <c r="BP1" s="3">
        <v>66</v>
      </c>
      <c r="BQ1" s="3">
        <v>67</v>
      </c>
      <c r="BR1" s="3">
        <v>68</v>
      </c>
      <c r="BS1" s="3">
        <v>69</v>
      </c>
      <c r="BT1" s="3">
        <v>70</v>
      </c>
      <c r="BU1" s="3">
        <v>71</v>
      </c>
      <c r="BV1" s="3">
        <v>72</v>
      </c>
      <c r="BW1" s="3">
        <v>73</v>
      </c>
      <c r="BX1" s="3">
        <v>74</v>
      </c>
      <c r="BY1" s="3">
        <v>75</v>
      </c>
      <c r="BZ1" s="3">
        <v>76</v>
      </c>
      <c r="CA1" s="3">
        <v>77</v>
      </c>
      <c r="CB1" s="3">
        <v>78</v>
      </c>
      <c r="CC1" s="3">
        <v>79</v>
      </c>
      <c r="CD1" s="3">
        <v>80</v>
      </c>
      <c r="CE1" s="3">
        <v>81</v>
      </c>
      <c r="CF1" s="3">
        <v>82</v>
      </c>
      <c r="CG1" s="3">
        <v>83</v>
      </c>
    </row>
    <row r="2" spans="1:85">
      <c r="A2" t="s">
        <v>34</v>
      </c>
      <c r="B2" s="4">
        <v>37434.05706458991</v>
      </c>
      <c r="C2" s="4">
        <v>5098.049507228789</v>
      </c>
      <c r="D2" s="4">
        <v>5647.499822463476</v>
      </c>
      <c r="E2" s="4">
        <v>6216.775337408435</v>
      </c>
      <c r="F2" s="4">
        <v>6796.030630755107</v>
      </c>
      <c r="G2" s="4">
        <v>7373.038062012442</v>
      </c>
      <c r="H2" s="4">
        <v>7933.405831013719</v>
      </c>
      <c r="I2" s="4">
        <v>8461.048452331583</v>
      </c>
      <c r="J2" s="4">
        <v>8938.923950348879</v>
      </c>
      <c r="K2" s="4">
        <v>9350.01363600594</v>
      </c>
      <c r="L2" s="4">
        <v>9678.474410759081</v>
      </c>
      <c r="M2" s="4">
        <v>9910.849160629339</v>
      </c>
      <c r="N2" s="4">
        <v>10037.18951580426</v>
      </c>
      <c r="O2" s="4">
        <v>10051.93792786464</v>
      </c>
      <c r="P2" s="4">
        <v>9954.43880884361</v>
      </c>
      <c r="Q2" s="4">
        <v>9748.999674291932</v>
      </c>
      <c r="R2" s="4">
        <v>9444.492668028688</v>
      </c>
      <c r="S2" s="4">
        <v>9053.558547505381</v>
      </c>
      <c r="T2" s="4">
        <v>8591.532465783472</v>
      </c>
      <c r="U2" s="4">
        <v>8075.241631057201</v>
      </c>
      <c r="V2" s="4">
        <v>7521.825162169407</v>
      </c>
      <c r="W2" s="4">
        <v>6947.700509626709</v>
      </c>
      <c r="X2" s="4">
        <v>6367.758696901554</v>
      </c>
      <c r="Y2" s="4">
        <v>5794.824106246117</v>
      </c>
      <c r="Z2" s="4">
        <v>5239.373486563127</v>
      </c>
      <c r="AA2" s="4">
        <v>4709.479298902676</v>
      </c>
      <c r="AB2" s="4">
        <v>4210.926240106637</v>
      </c>
      <c r="AC2" s="4">
        <v>3747.445359313046</v>
      </c>
      <c r="AD2" s="4">
        <v>3321.014395678445</v>
      </c>
      <c r="AE2" s="4">
        <v>2932.182189908286</v>
      </c>
      <c r="AF2" s="4">
        <v>2580.386119290662</v>
      </c>
      <c r="AG2" s="4">
        <v>2264.242246640963</v>
      </c>
      <c r="AH2" s="4">
        <v>1981.796975336038</v>
      </c>
      <c r="AI2" s="4">
        <v>1730.735953984695</v>
      </c>
      <c r="AJ2" s="4">
        <v>1508.550785783184</v>
      </c>
      <c r="AK2" s="4">
        <v>1312.667069094663</v>
      </c>
      <c r="AL2" s="4">
        <v>1140.538840444788</v>
      </c>
      <c r="AM2" s="4">
        <v>989.7150232945278</v>
      </c>
      <c r="AN2" s="4">
        <v>857.8833623035171</v>
      </c>
      <c r="AO2" s="4">
        <v>742.8968206343707</v>
      </c>
      <c r="AP2" s="4">
        <v>642.7867358826916</v>
      </c>
      <c r="AQ2" s="4">
        <v>555.7663000537432</v>
      </c>
      <c r="AR2" s="4">
        <v>480.2272304111393</v>
      </c>
      <c r="AS2" s="4">
        <v>414.7318735410227</v>
      </c>
      <c r="AT2" s="4">
        <v>358.0024522925378</v>
      </c>
      <c r="AU2" s="4">
        <v>308.9087265500566</v>
      </c>
      <c r="AV2" s="4">
        <v>266.4549875280354</v>
      </c>
      <c r="AW2" s="4">
        <v>229.7670306673972</v>
      </c>
      <c r="AX2" s="4">
        <v>198.0795420957729</v>
      </c>
      <c r="AY2" s="4">
        <v>170.7241761010955</v>
      </c>
      <c r="AZ2" s="4">
        <v>147.1184854246676</v>
      </c>
      <c r="BA2" s="4">
        <v>126.7557831802405</v>
      </c>
      <c r="BB2" s="4">
        <v>109.1959571857587</v>
      </c>
      <c r="BC2" s="4">
        <v>94.05721828428796</v>
      </c>
      <c r="BD2" s="4">
        <v>81.00873894267716</v>
      </c>
      <c r="BE2" s="4">
        <v>69.76412323815748</v>
      </c>
      <c r="BF2" s="4">
        <v>60.07564140349859</v>
      </c>
      <c r="BG2" s="4">
        <v>51.72915917972568</v>
      </c>
      <c r="BH2" s="4">
        <v>44.53969272103859</v>
      </c>
      <c r="BI2" s="4">
        <v>38.34752250200836</v>
      </c>
      <c r="BJ2" s="4">
        <v>33.01480373449158</v>
      </c>
      <c r="BK2" s="4">
        <v>28.42261560313636</v>
      </c>
      <c r="BL2" s="4">
        <v>24.46839674253715</v>
      </c>
      <c r="BM2" s="4">
        <v>21.06371951865731</v>
      </c>
      <c r="BN2" s="4">
        <v>18.13236065849196</v>
      </c>
      <c r="BO2" s="4">
        <v>15.60863046778832</v>
      </c>
      <c r="BP2" s="4">
        <v>13.43592723977054</v>
      </c>
      <c r="BQ2" s="4">
        <v>11.56548742542509</v>
      </c>
      <c r="BR2" s="4">
        <v>9.955305747047532</v>
      </c>
      <c r="BS2" s="4">
        <v>8.56920265062945</v>
      </c>
      <c r="BT2" s="4">
        <v>7.376019373419695</v>
      </c>
      <c r="BU2" s="4">
        <v>6.348923436773475</v>
      </c>
      <c r="BV2" s="4">
        <v>5.464809625234921</v>
      </c>
      <c r="BW2" s="4">
        <v>4.703783472243231</v>
      </c>
      <c r="BX2" s="4">
        <v>4.048716003017034</v>
      </c>
      <c r="BY2" s="4">
        <v>3.484859986929223</v>
      </c>
      <c r="BZ2" s="4">
        <v>2.999519263627008</v>
      </c>
      <c r="CA2" s="4">
        <v>2.581763849128038</v>
      </c>
      <c r="CB2" s="4">
        <v>2.222184516547713</v>
      </c>
      <c r="CC2" s="4">
        <v>1.912681407702621</v>
      </c>
      <c r="CD2" s="4">
        <v>1.646281975728925</v>
      </c>
      <c r="CE2" s="4">
        <v>1.416984201699961</v>
      </c>
      <c r="CF2" s="4">
        <v>1.21962158678798</v>
      </c>
      <c r="CG2" s="4">
        <v>1.049746904522181</v>
      </c>
    </row>
    <row r="3" spans="1:85">
      <c r="A3" t="s">
        <v>35</v>
      </c>
      <c r="B3" s="4">
        <v>88815.64817855354</v>
      </c>
      <c r="C3" s="4">
        <v>12287.83381533681</v>
      </c>
      <c r="D3" s="4">
        <v>13666.95278676797</v>
      </c>
      <c r="E3" s="4">
        <v>15111.60170720023</v>
      </c>
      <c r="F3" s="4">
        <v>16600.54232968944</v>
      </c>
      <c r="G3" s="4">
        <v>18106.29014249038</v>
      </c>
      <c r="H3" s="4">
        <v>19595.28526078002</v>
      </c>
      <c r="I3" s="4">
        <v>21028.65104619673</v>
      </c>
      <c r="J3" s="4">
        <v>22363.62828162231</v>
      </c>
      <c r="K3" s="4">
        <v>23555.69444415346</v>
      </c>
      <c r="L3" s="4">
        <v>24561.26998068392</v>
      </c>
      <c r="M3" s="4">
        <v>25340.79258636845</v>
      </c>
      <c r="N3" s="4">
        <v>25861.83238819835</v>
      </c>
      <c r="O3" s="4">
        <v>26101.85616928118</v>
      </c>
      <c r="P3" s="4">
        <v>26050.25289217127</v>
      </c>
      <c r="Q3" s="4">
        <v>25709.31613069115</v>
      </c>
      <c r="R3" s="4">
        <v>25094.03019389021</v>
      </c>
      <c r="S3" s="4">
        <v>24230.69359423668</v>
      </c>
      <c r="T3" s="4">
        <v>23154.59245840152</v>
      </c>
      <c r="U3" s="4">
        <v>21907.06646679254</v>
      </c>
      <c r="V3" s="4">
        <v>20532.36544934026</v>
      </c>
      <c r="W3" s="4">
        <v>19074.67244543601</v>
      </c>
      <c r="X3" s="4">
        <v>17575.58559545421</v>
      </c>
      <c r="Y3" s="4">
        <v>16072.23519534874</v>
      </c>
      <c r="Z3" s="4">
        <v>14596.09348635888</v>
      </c>
      <c r="AA3" s="4">
        <v>13172.43620873848</v>
      </c>
      <c r="AB3" s="4">
        <v>11820.3487499631</v>
      </c>
      <c r="AC3" s="4">
        <v>10553.13759627054</v>
      </c>
      <c r="AD3" s="4">
        <v>9379.004189492436</v>
      </c>
      <c r="AE3" s="4">
        <v>8301.854201899027</v>
      </c>
      <c r="AF3" s="4">
        <v>7322.14145082992</v>
      </c>
      <c r="AG3" s="4">
        <v>6437.674698532443</v>
      </c>
      <c r="AH3" s="4">
        <v>5644.342411225312</v>
      </c>
      <c r="AI3" s="4">
        <v>4936.732533243136</v>
      </c>
      <c r="AJ3" s="4">
        <v>4308.640625426313</v>
      </c>
      <c r="AK3" s="4">
        <v>3753.470638255705</v>
      </c>
      <c r="AL3" s="4">
        <v>3264.539049071376</v>
      </c>
      <c r="AM3" s="4">
        <v>2835.296186534106</v>
      </c>
      <c r="AN3" s="4">
        <v>2459.479335016222</v>
      </c>
      <c r="AO3" s="4">
        <v>2131.211522120517</v>
      </c>
      <c r="AP3" s="4">
        <v>1845.058399427566</v>
      </c>
      <c r="AQ3" s="4">
        <v>1596.053788271034</v>
      </c>
      <c r="AR3" s="4">
        <v>1379.702574983356</v>
      </c>
      <c r="AS3" s="4">
        <v>1191.967877207324</v>
      </c>
      <c r="AT3" s="4">
        <v>1029.24785212439</v>
      </c>
      <c r="AU3" s="4">
        <v>888.3462101225741</v>
      </c>
      <c r="AV3" s="4">
        <v>766.4394306411268</v>
      </c>
      <c r="AW3" s="4">
        <v>661.0428293060977</v>
      </c>
      <c r="AX3" s="4">
        <v>569.9769673350966</v>
      </c>
      <c r="AY3" s="4">
        <v>491.3353937390493</v>
      </c>
      <c r="AZ3" s="4">
        <v>423.4543381201802</v>
      </c>
      <c r="BA3" s="4">
        <v>364.8846999662928</v>
      </c>
      <c r="BB3" s="4">
        <v>314.3664867162006</v>
      </c>
      <c r="BC3" s="4">
        <v>270.8057187662926</v>
      </c>
      <c r="BD3" s="4">
        <v>233.2537300924305</v>
      </c>
      <c r="BE3" s="4">
        <v>200.8887364967959</v>
      </c>
      <c r="BF3" s="4">
        <v>172.9995105618145</v>
      </c>
      <c r="BG3" s="4">
        <v>148.9709863079479</v>
      </c>
      <c r="BH3" s="4">
        <v>128.2716120844707</v>
      </c>
      <c r="BI3" s="4">
        <v>110.4422735469416</v>
      </c>
      <c r="BJ3" s="4">
        <v>95.08661689341534</v>
      </c>
      <c r="BK3" s="4">
        <v>81.86261379346251</v>
      </c>
      <c r="BL3" s="4">
        <v>70.47522225847933</v>
      </c>
      <c r="BM3" s="4">
        <v>60.67001106811222</v>
      </c>
      <c r="BN3" s="4">
        <v>52.22762862965465</v>
      </c>
      <c r="BO3" s="4">
        <v>44.95900986879133</v>
      </c>
      <c r="BP3" s="4">
        <v>38.70122670091223</v>
      </c>
      <c r="BQ3" s="4">
        <v>33.31389863858931</v>
      </c>
      <c r="BR3" s="4">
        <v>28.67609011975583</v>
      </c>
      <c r="BS3" s="4">
        <v>24.68363018007949</v>
      </c>
      <c r="BT3" s="4">
        <v>21.24679818446748</v>
      </c>
      <c r="BU3" s="4">
        <v>18.2883265055716</v>
      </c>
      <c r="BV3" s="4">
        <v>15.74167740694247</v>
      </c>
      <c r="BW3" s="4">
        <v>13.54955696628895</v>
      </c>
      <c r="BX3" s="4">
        <v>11.66263379715383</v>
      </c>
      <c r="BY3" s="4">
        <v>10.03843460546341</v>
      </c>
      <c r="BZ3" s="4">
        <v>8.640392377739772</v>
      </c>
      <c r="CA3" s="4">
        <v>7.437026249826886</v>
      </c>
      <c r="CB3" s="4">
        <v>6.401234950637445</v>
      </c>
      <c r="CC3" s="4">
        <v>5.509688168764114</v>
      </c>
      <c r="CD3" s="4">
        <v>4.742302332306281</v>
      </c>
      <c r="CE3" s="4">
        <v>4.081789137562737</v>
      </c>
      <c r="CF3" s="4">
        <v>3.513266764814034</v>
      </c>
      <c r="CG3" s="5"/>
    </row>
    <row r="4" spans="1:85">
      <c r="A4" t="s">
        <v>36</v>
      </c>
      <c r="B4" s="4">
        <v>154494.6970620729</v>
      </c>
      <c r="C4" s="4">
        <v>20944.26109550596</v>
      </c>
      <c r="D4" s="4">
        <v>23174.83794874276</v>
      </c>
      <c r="E4" s="4">
        <v>25478.47117253972</v>
      </c>
      <c r="F4" s="4">
        <v>27813.66182197336</v>
      </c>
      <c r="G4" s="4">
        <v>30129.41221955945</v>
      </c>
      <c r="H4" s="4">
        <v>32366.28727055306</v>
      </c>
      <c r="I4" s="4">
        <v>34458.51302279416</v>
      </c>
      <c r="J4" s="4">
        <v>36337.14412929025</v>
      </c>
      <c r="K4" s="4">
        <v>37934.16927728202</v>
      </c>
      <c r="L4" s="4">
        <v>39187.2366668841</v>
      </c>
      <c r="M4" s="4">
        <v>40044.5091891099</v>
      </c>
      <c r="N4" s="4">
        <v>40469.04827804322</v>
      </c>
      <c r="O4" s="4">
        <v>40442.11789873592</v>
      </c>
      <c r="P4" s="4">
        <v>39964.91527979774</v>
      </c>
      <c r="Q4" s="4">
        <v>39058.45923779043</v>
      </c>
      <c r="R4" s="4">
        <v>37761.65367149829</v>
      </c>
      <c r="S4" s="4">
        <v>36127.82639514585</v>
      </c>
      <c r="T4" s="4">
        <v>34220.25664692058</v>
      </c>
      <c r="U4" s="4">
        <v>32107.30522656057</v>
      </c>
      <c r="V4" s="4">
        <v>29857.73989013326</v>
      </c>
      <c r="W4" s="4">
        <v>27536.72820456407</v>
      </c>
      <c r="X4" s="4">
        <v>25202.79349130974</v>
      </c>
      <c r="Y4" s="4">
        <v>22905.84363479889</v>
      </c>
      <c r="Z4" s="4">
        <v>20686.22469228436</v>
      </c>
      <c r="AA4" s="4">
        <v>18574.64227031905</v>
      </c>
      <c r="AB4" s="4">
        <v>16592.73790574982</v>
      </c>
      <c r="AC4" s="4">
        <v>14754.09759048559</v>
      </c>
      <c r="AD4" s="4">
        <v>13065.49148636137</v>
      </c>
      <c r="AE4" s="4">
        <v>11528.18333164882</v>
      </c>
      <c r="AF4" s="4">
        <v>10139.19302907761</v>
      </c>
      <c r="AG4" s="4">
        <v>8892.438196681207</v>
      </c>
      <c r="AH4" s="4">
        <v>7779.715552706853</v>
      </c>
      <c r="AI4" s="4">
        <v>6791.509312613518</v>
      </c>
      <c r="AJ4" s="4">
        <v>5917.631630237796</v>
      </c>
      <c r="AK4" s="4">
        <v>5147.710857211612</v>
      </c>
      <c r="AL4" s="4">
        <v>4471.548717076774</v>
      </c>
      <c r="AM4" s="4">
        <v>3879.369030498434</v>
      </c>
      <c r="AN4" s="4">
        <v>3361.979764418444</v>
      </c>
      <c r="AO4" s="4">
        <v>2910.867965479381</v>
      </c>
      <c r="AP4" s="4">
        <v>2518.24432110996</v>
      </c>
      <c r="AQ4" s="4">
        <v>2177.051155871712</v>
      </c>
      <c r="AR4" s="4">
        <v>1880.944904398406</v>
      </c>
      <c r="AS4" s="4">
        <v>1624.261654450791</v>
      </c>
      <c r="AT4" s="4">
        <v>1401.972280936316</v>
      </c>
      <c r="AU4" s="4">
        <v>1209.631994662108</v>
      </c>
      <c r="AV4" s="4">
        <v>1043.327777197817</v>
      </c>
      <c r="AW4" s="4">
        <v>899.6261205121409</v>
      </c>
      <c r="AX4" s="4">
        <v>775.5226875997614</v>
      </c>
      <c r="AY4" s="4">
        <v>668.394911239855</v>
      </c>
      <c r="AZ4" s="4">
        <v>575.9581099031493</v>
      </c>
      <c r="BA4" s="4">
        <v>496.2253868619446</v>
      </c>
      <c r="BB4" s="4">
        <v>427.471361054806</v>
      </c>
      <c r="BC4" s="4">
        <v>368.1996323727071</v>
      </c>
      <c r="BD4" s="4">
        <v>317.1137909472454</v>
      </c>
      <c r="BE4" s="4">
        <v>273.0917252902873</v>
      </c>
      <c r="BF4" s="4">
        <v>235.1629565604962</v>
      </c>
      <c r="BG4" s="4">
        <v>202.4887175401673</v>
      </c>
      <c r="BH4" s="4">
        <v>174.3444989230484</v>
      </c>
      <c r="BI4" s="4">
        <v>150.1047976613045</v>
      </c>
      <c r="BJ4" s="4">
        <v>129.229819211876</v>
      </c>
      <c r="BK4" s="4">
        <v>111.2539051892236</v>
      </c>
      <c r="BL4" s="4">
        <v>95.77547864569351</v>
      </c>
      <c r="BM4" s="4">
        <v>82.44831980974413</v>
      </c>
      <c r="BN4" s="4">
        <v>70.97400498762727</v>
      </c>
      <c r="BO4" s="4">
        <v>61.09536001947708</v>
      </c>
      <c r="BP4" s="4">
        <v>52.59079692489468</v>
      </c>
      <c r="BQ4" s="4">
        <v>45.26941812294535</v>
      </c>
      <c r="BR4" s="4">
        <v>38.96678680134937</v>
      </c>
      <c r="BS4" s="4">
        <v>33.54127472126856</v>
      </c>
      <c r="BT4" s="4">
        <v>28.87091006455012</v>
      </c>
      <c r="BU4" s="4">
        <v>24.8506578989327</v>
      </c>
      <c r="BV4" s="4">
        <v>21.3900746833533</v>
      </c>
      <c r="BW4" s="4">
        <v>18.41128594218753</v>
      </c>
      <c r="BX4" s="4">
        <v>15.84724300075322</v>
      </c>
      <c r="BY4" s="4">
        <v>13.64022061019205</v>
      </c>
      <c r="BZ4" s="4">
        <v>11.74052238860168</v>
      </c>
      <c r="CA4" s="4">
        <v>10.1053655249998</v>
      </c>
      <c r="CB4" s="4">
        <v>8.697920034406707</v>
      </c>
      <c r="CC4" s="4">
        <v>7.486481255851686</v>
      </c>
      <c r="CD4" s="4">
        <v>6.44375718338415</v>
      </c>
      <c r="CE4" s="4">
        <v>5.546254732878879</v>
      </c>
      <c r="CF4" s="5"/>
      <c r="CG4" s="5"/>
    </row>
    <row r="5" spans="1:85">
      <c r="A5" t="s">
        <v>37</v>
      </c>
      <c r="B5" s="4">
        <v>103617.0934360593</v>
      </c>
      <c r="C5" s="4">
        <v>13809.98950813684</v>
      </c>
      <c r="D5" s="4">
        <v>15216.07433991003</v>
      </c>
      <c r="E5" s="4">
        <v>16650.68358003322</v>
      </c>
      <c r="F5" s="4">
        <v>18084.30380461283</v>
      </c>
      <c r="G5" s="4">
        <v>19481.94353548362</v>
      </c>
      <c r="H5" s="4">
        <v>20804.20831038136</v>
      </c>
      <c r="I5" s="4">
        <v>22009.03729227002</v>
      </c>
      <c r="J5" s="4">
        <v>23054.05640879759</v>
      </c>
      <c r="K5" s="4">
        <v>23899.39061893997</v>
      </c>
      <c r="L5" s="4">
        <v>24510.66566648061</v>
      </c>
      <c r="M5" s="4">
        <v>24861.84578572394</v>
      </c>
      <c r="N5" s="4">
        <v>24937.52606034919</v>
      </c>
      <c r="O5" s="4">
        <v>24734.34396063676</v>
      </c>
      <c r="P5" s="4">
        <v>24261.29275391862</v>
      </c>
      <c r="Q5" s="4">
        <v>23538.88750337501</v>
      </c>
      <c r="R5" s="4">
        <v>22597.31398510485</v>
      </c>
      <c r="S5" s="4">
        <v>21473.84003328288</v>
      </c>
      <c r="T5" s="4">
        <v>20209.85536039004</v>
      </c>
      <c r="U5" s="4">
        <v>18847.91685932979</v>
      </c>
      <c r="V5" s="4">
        <v>17429.11986451293</v>
      </c>
      <c r="W5" s="4">
        <v>15991.01526463235</v>
      </c>
      <c r="X5" s="4">
        <v>14566.17685345572</v>
      </c>
      <c r="Y5" s="4">
        <v>13181.41847557796</v>
      </c>
      <c r="Z5" s="4">
        <v>11857.5827416681</v>
      </c>
      <c r="AA5" s="4">
        <v>10609.77818727971</v>
      </c>
      <c r="AB5" s="4">
        <v>9447.927080581081</v>
      </c>
      <c r="AC5" s="4">
        <v>8377.494082401041</v>
      </c>
      <c r="AD5" s="4">
        <v>7400.287608767976</v>
      </c>
      <c r="AE5" s="4">
        <v>6515.253002300276</v>
      </c>
      <c r="AF5" s="4">
        <v>5719.20361821854</v>
      </c>
      <c r="AG5" s="4">
        <v>5007.459182883264</v>
      </c>
      <c r="AH5" s="4">
        <v>4374.378787719645</v>
      </c>
      <c r="AI5" s="4">
        <v>3813.788521354669</v>
      </c>
      <c r="AJ5" s="4">
        <v>3319.311690866132</v>
      </c>
      <c r="AK5" s="4">
        <v>2884.613844618318</v>
      </c>
      <c r="AL5" s="4">
        <v>2503.576422779472</v>
      </c>
      <c r="AM5" s="4">
        <v>2170.412736508879</v>
      </c>
      <c r="AN5" s="4">
        <v>1879.738829094917</v>
      </c>
      <c r="AO5" s="4">
        <v>1626.610120580182</v>
      </c>
      <c r="AP5" s="4">
        <v>1406.532929119421</v>
      </c>
      <c r="AQ5" s="4">
        <v>1215.458210941521</v>
      </c>
      <c r="AR5" s="4">
        <v>1049.7632827817</v>
      </c>
      <c r="AS5" s="4">
        <v>906.2259368877858</v>
      </c>
      <c r="AT5" s="4">
        <v>781.9942388702184</v>
      </c>
      <c r="AU5" s="4">
        <v>674.5543987315614</v>
      </c>
      <c r="AV5" s="4">
        <v>581.698399668443</v>
      </c>
      <c r="AW5" s="4">
        <v>501.4925276273862</v>
      </c>
      <c r="AX5" s="4">
        <v>432.2475374565693</v>
      </c>
      <c r="AY5" s="4">
        <v>372.4908916625427</v>
      </c>
      <c r="AZ5" s="4">
        <v>320.9412918632152</v>
      </c>
      <c r="BA5" s="4">
        <v>276.4855715055019</v>
      </c>
      <c r="BB5" s="4">
        <v>238.1579154423671</v>
      </c>
      <c r="BC5" s="4">
        <v>205.1213050505612</v>
      </c>
      <c r="BD5" s="4">
        <v>176.6510469132336</v>
      </c>
      <c r="BE5" s="4">
        <v>152.1202212384669</v>
      </c>
      <c r="BF5" s="4">
        <v>130.9868774865754</v>
      </c>
      <c r="BG5" s="4">
        <v>112.7828049056698</v>
      </c>
      <c r="BH5" s="4">
        <v>97.10371177515481</v>
      </c>
      <c r="BI5" s="4">
        <v>83.60065684374422</v>
      </c>
      <c r="BJ5" s="4">
        <v>71.97258817229886</v>
      </c>
      <c r="BK5" s="4">
        <v>61.95985721435864</v>
      </c>
      <c r="BL5" s="4">
        <v>53.33858873683494</v>
      </c>
      <c r="BM5" s="4">
        <v>45.91579960880335</v>
      </c>
      <c r="BN5" s="4">
        <v>39.52517124719452</v>
      </c>
      <c r="BO5" s="4">
        <v>34.02339143794961</v>
      </c>
      <c r="BP5" s="4">
        <v>29.28699124848936</v>
      </c>
      <c r="BQ5" s="4">
        <v>25.20961179863662</v>
      </c>
      <c r="BR5" s="4">
        <v>21.69964379374869</v>
      </c>
      <c r="BS5" s="4">
        <v>18.67818994063418</v>
      </c>
      <c r="BT5" s="4">
        <v>16.07730681286193</v>
      </c>
      <c r="BU5" s="4">
        <v>13.83848835772369</v>
      </c>
      <c r="BV5" s="4">
        <v>11.91135823586956</v>
      </c>
      <c r="BW5" s="4">
        <v>10.25254252366722</v>
      </c>
      <c r="BX5" s="4">
        <v>8.824698115233332</v>
      </c>
      <c r="BY5" s="4">
        <v>7.595675481716171</v>
      </c>
      <c r="BZ5" s="4">
        <v>6.537797325639986</v>
      </c>
      <c r="CA5" s="4">
        <v>5.62723717384506</v>
      </c>
      <c r="CB5" s="4">
        <v>4.843484128592536</v>
      </c>
      <c r="CC5" s="4">
        <v>4.16888188070152</v>
      </c>
      <c r="CD5" s="4">
        <v>3.588231712928973</v>
      </c>
      <c r="CE5" s="5"/>
      <c r="CF5" s="5"/>
      <c r="CG5" s="5"/>
    </row>
    <row r="6" spans="1:85">
      <c r="A6" t="s">
        <v>38</v>
      </c>
      <c r="B6" s="4">
        <v>45657.87861264261</v>
      </c>
      <c r="C6" s="4">
        <v>6135.170694519999</v>
      </c>
      <c r="D6" s="4">
        <v>6773.557322487541</v>
      </c>
      <c r="E6" s="4">
        <v>7428.726757985409</v>
      </c>
      <c r="F6" s="4">
        <v>8087.9900342779</v>
      </c>
      <c r="G6" s="4">
        <v>8736.050843761477</v>
      </c>
      <c r="H6" s="4">
        <v>9355.405888319496</v>
      </c>
      <c r="I6" s="4">
        <v>9927.045811797449</v>
      </c>
      <c r="J6" s="4">
        <v>10431.45064741444</v>
      </c>
      <c r="K6" s="4">
        <v>10849.8243541408</v>
      </c>
      <c r="L6" s="4">
        <v>11165.46022664791</v>
      </c>
      <c r="M6" s="4">
        <v>11365.08492491444</v>
      </c>
      <c r="N6" s="4">
        <v>11440.00685247313</v>
      </c>
      <c r="O6" s="4">
        <v>11386.90460482289</v>
      </c>
      <c r="P6" s="4">
        <v>11208.13562759318</v>
      </c>
      <c r="Q6" s="4">
        <v>10911.51672520224</v>
      </c>
      <c r="R6" s="4">
        <v>10509.61088944838</v>
      </c>
      <c r="S6" s="4">
        <v>10018.6296498657</v>
      </c>
      <c r="T6" s="4">
        <v>9457.109990047931</v>
      </c>
      <c r="U6" s="4">
        <v>8844.540843547089</v>
      </c>
      <c r="V6" s="4">
        <v>8200.097094718629</v>
      </c>
      <c r="W6" s="4">
        <v>7541.5978282656</v>
      </c>
      <c r="X6" s="4">
        <v>6884.75333747585</v>
      </c>
      <c r="Y6" s="4">
        <v>6242.714742020355</v>
      </c>
      <c r="Z6" s="4">
        <v>5625.899978463684</v>
      </c>
      <c r="AA6" s="4">
        <v>5042.044563255622</v>
      </c>
      <c r="AB6" s="4">
        <v>4496.414737690939</v>
      </c>
      <c r="AC6" s="4">
        <v>3992.121441864932</v>
      </c>
      <c r="AD6" s="4">
        <v>3530.481956693809</v>
      </c>
      <c r="AE6" s="4">
        <v>3111.388086268678</v>
      </c>
      <c r="AF6" s="4">
        <v>2733.652394970704</v>
      </c>
      <c r="AG6" s="4">
        <v>2395.315331102465</v>
      </c>
      <c r="AH6" s="4">
        <v>2093.905114004738</v>
      </c>
      <c r="AI6" s="4">
        <v>1826.648812301748</v>
      </c>
      <c r="AJ6" s="4">
        <v>1590.637317652465</v>
      </c>
      <c r="AK6" s="4">
        <v>1382.94935249479</v>
      </c>
      <c r="AL6" s="4">
        <v>1200.74072394229</v>
      </c>
      <c r="AM6" s="4">
        <v>1041.305189826759</v>
      </c>
      <c r="AN6" s="4">
        <v>902.1128943697549</v>
      </c>
      <c r="AO6" s="4">
        <v>780.8316256331746</v>
      </c>
      <c r="AP6" s="4">
        <v>675.3353270441876</v>
      </c>
      <c r="AQ6" s="4">
        <v>583.7034763004049</v>
      </c>
      <c r="AR6" s="4">
        <v>504.214192515763</v>
      </c>
      <c r="AS6" s="4">
        <v>435.3332780392957</v>
      </c>
      <c r="AT6" s="4">
        <v>375.7008543133852</v>
      </c>
      <c r="AU6" s="4">
        <v>324.1168077635812</v>
      </c>
      <c r="AV6" s="4">
        <v>279.5259114397923</v>
      </c>
      <c r="AW6" s="4">
        <v>241.0032175333472</v>
      </c>
      <c r="AX6" s="4">
        <v>207.7401111723739</v>
      </c>
      <c r="AY6" s="4">
        <v>179.0312641275232</v>
      </c>
      <c r="AZ6" s="4">
        <v>154.2626169704017</v>
      </c>
      <c r="BA6" s="4">
        <v>132.9004403001745</v>
      </c>
      <c r="BB6" s="4">
        <v>114.4814720928553</v>
      </c>
      <c r="BC6" s="4">
        <v>98.60409288754454</v>
      </c>
      <c r="BD6" s="4">
        <v>84.92047848174116</v>
      </c>
      <c r="BE6" s="4">
        <v>73.12965740606887</v>
      </c>
      <c r="BF6" s="4">
        <v>62.9713947774726</v>
      </c>
      <c r="BG6" s="4">
        <v>54.22082313377177</v>
      </c>
      <c r="BH6" s="4">
        <v>46.68374292255612</v>
      </c>
      <c r="BI6" s="4">
        <v>40.19251933222404</v>
      </c>
      <c r="BJ6" s="4">
        <v>34.6025073073688</v>
      </c>
      <c r="BK6" s="4">
        <v>29.78894228348508</v>
      </c>
      <c r="BL6" s="4">
        <v>25.64424005051842</v>
      </c>
      <c r="BM6" s="4">
        <v>22.07565491599962</v>
      </c>
      <c r="BN6" s="4">
        <v>19.00325084262295</v>
      </c>
      <c r="BO6" s="4">
        <v>16.35814537171973</v>
      </c>
      <c r="BP6" s="4">
        <v>14.08099086675793</v>
      </c>
      <c r="BQ6" s="4">
        <v>12.12066190229962</v>
      </c>
      <c r="BR6" s="4">
        <v>10.43312147591496</v>
      </c>
      <c r="BS6" s="4">
        <v>8.980442175059579</v>
      </c>
      <c r="BT6" s="4">
        <v>7.72996148042148</v>
      </c>
      <c r="BU6" s="4">
        <v>6.653553092619404</v>
      </c>
      <c r="BV6" s="4">
        <v>5.72699854610255</v>
      </c>
      <c r="BW6" s="4">
        <v>4.929445451998618</v>
      </c>
      <c r="BX6" s="4">
        <v>4.242940537515096</v>
      </c>
      <c r="BY6" s="4">
        <v>3.652027235482819</v>
      </c>
      <c r="BZ6" s="4">
        <v>3.143398960295599</v>
      </c>
      <c r="CA6" s="4">
        <v>2.705600408778992</v>
      </c>
      <c r="CB6" s="4">
        <v>2.328770265565254</v>
      </c>
      <c r="CC6" s="4">
        <v>2.004419600358233</v>
      </c>
      <c r="CD6" s="5"/>
      <c r="CE6" s="5"/>
      <c r="CF6" s="5"/>
      <c r="CG6" s="5"/>
    </row>
    <row r="7" spans="1:85">
      <c r="A7" t="s">
        <v>39</v>
      </c>
      <c r="B7" s="4">
        <v>52017.53696984442</v>
      </c>
      <c r="C7" s="4">
        <v>7166.698973079583</v>
      </c>
      <c r="D7" s="4">
        <v>7962.513872480966</v>
      </c>
      <c r="E7" s="4">
        <v>8793.734445971408</v>
      </c>
      <c r="F7" s="4">
        <v>9647.554814447096</v>
      </c>
      <c r="G7" s="4">
        <v>10507.59640786937</v>
      </c>
      <c r="H7" s="4">
        <v>11354.06406109047</v>
      </c>
      <c r="I7" s="4">
        <v>12164.24994586539</v>
      </c>
      <c r="J7" s="4">
        <v>12913.42853220389</v>
      </c>
      <c r="K7" s="4">
        <v>13576.13745555482</v>
      </c>
      <c r="L7" s="4">
        <v>14127.7753267799</v>
      </c>
      <c r="M7" s="4">
        <v>14546.37855134424</v>
      </c>
      <c r="N7" s="4">
        <v>14814.38082565696</v>
      </c>
      <c r="O7" s="4">
        <v>14920.12851369529</v>
      </c>
      <c r="P7" s="4">
        <v>14858.93595056236</v>
      </c>
      <c r="Q7" s="4">
        <v>14633.52059779171</v>
      </c>
      <c r="R7" s="4">
        <v>14253.74992712852</v>
      </c>
      <c r="S7" s="4">
        <v>13735.73980324186</v>
      </c>
      <c r="T7" s="4">
        <v>13100.44268245233</v>
      </c>
      <c r="U7" s="4">
        <v>12371.93089374073</v>
      </c>
      <c r="V7" s="4">
        <v>11575.60331139481</v>
      </c>
      <c r="W7" s="4">
        <v>10736.52332547528</v>
      </c>
      <c r="X7" s="4">
        <v>9878.043451167003</v>
      </c>
      <c r="Y7" s="4">
        <v>9020.804084008851</v>
      </c>
      <c r="Z7" s="4">
        <v>8182.127415988245</v>
      </c>
      <c r="AA7" s="4">
        <v>7375.774398848647</v>
      </c>
      <c r="AB7" s="4">
        <v>6611.998596713354</v>
      </c>
      <c r="AC7" s="4">
        <v>5897.815844920522</v>
      </c>
      <c r="AD7" s="4">
        <v>5237.409108769672</v>
      </c>
      <c r="AE7" s="4">
        <v>4632.598528831033</v>
      </c>
      <c r="AF7" s="4">
        <v>4083.322206703655</v>
      </c>
      <c r="AG7" s="4">
        <v>3588.089805156051</v>
      </c>
      <c r="AH7" s="4">
        <v>3144.385918792977</v>
      </c>
      <c r="AI7" s="4">
        <v>2749.012125109497</v>
      </c>
      <c r="AJ7" s="4">
        <v>2398.365323822713</v>
      </c>
      <c r="AK7" s="4">
        <v>2088.65568225208</v>
      </c>
      <c r="AL7" s="4">
        <v>1816.070781011309</v>
      </c>
      <c r="AM7" s="4">
        <v>1576.894026545633</v>
      </c>
      <c r="AN7" s="4">
        <v>1367.585644021572</v>
      </c>
      <c r="AO7" s="4">
        <v>1184.834057853557</v>
      </c>
      <c r="AP7" s="4">
        <v>1025.58455963264</v>
      </c>
      <c r="AQ7" s="4">
        <v>887.0510970725445</v>
      </c>
      <c r="AR7" s="4">
        <v>766.7159469121834</v>
      </c>
      <c r="AS7" s="4">
        <v>662.3210478900583</v>
      </c>
      <c r="AT7" s="4">
        <v>571.8539096916793</v>
      </c>
      <c r="AU7" s="4">
        <v>493.5302934815991</v>
      </c>
      <c r="AV7" s="4">
        <v>425.7752750726067</v>
      </c>
      <c r="AW7" s="4">
        <v>367.2038394362316</v>
      </c>
      <c r="AX7" s="4">
        <v>316.6017977308948</v>
      </c>
      <c r="AY7" s="4">
        <v>272.907547236071</v>
      </c>
      <c r="AZ7" s="4">
        <v>235.194993655954</v>
      </c>
      <c r="BA7" s="4">
        <v>202.6578093437711</v>
      </c>
      <c r="BB7" s="4">
        <v>174.595097566722</v>
      </c>
      <c r="BC7" s="4">
        <v>150.3984617582755</v>
      </c>
      <c r="BD7" s="4">
        <v>129.5404315930209</v>
      </c>
      <c r="BE7" s="4">
        <v>111.5641682832502</v>
      </c>
      <c r="BF7" s="4">
        <v>96.07435477653053</v>
      </c>
      <c r="BG7" s="4">
        <v>82.72916880715638</v>
      </c>
      <c r="BH7" s="4">
        <v>71.23323519673431</v>
      </c>
      <c r="BI7" s="4">
        <v>61.33145634637913</v>
      </c>
      <c r="BJ7" s="4">
        <v>52.80362501385389</v>
      </c>
      <c r="BK7" s="4">
        <v>45.45973012020113</v>
      </c>
      <c r="BL7" s="4">
        <v>39.1358737583505</v>
      </c>
      <c r="BM7" s="4">
        <v>33.69072521390626</v>
      </c>
      <c r="BN7" s="4">
        <v>29.00244535232196</v>
      </c>
      <c r="BO7" s="4">
        <v>24.96602191287093</v>
      </c>
      <c r="BP7" s="4">
        <v>21.49096298433142</v>
      </c>
      <c r="BQ7" s="4">
        <v>18.4993021179107</v>
      </c>
      <c r="BR7" s="4">
        <v>15.92387415940175</v>
      </c>
      <c r="BS7" s="4">
        <v>13.70682593336096</v>
      </c>
      <c r="BT7" s="4">
        <v>11.79833044321276</v>
      </c>
      <c r="BU7" s="4">
        <v>10.15547725267243</v>
      </c>
      <c r="BV7" s="4">
        <v>8.741315263556316</v>
      </c>
      <c r="BW7" s="4">
        <v>7.524027222534642</v>
      </c>
      <c r="BX7" s="4">
        <v>6.476218023628462</v>
      </c>
      <c r="BY7" s="4">
        <v>5.574301260523498</v>
      </c>
      <c r="BZ7" s="4">
        <v>4.797970576735679</v>
      </c>
      <c r="CA7" s="4">
        <v>4.129744165576994</v>
      </c>
      <c r="CB7" s="4">
        <v>3.554572360299062</v>
      </c>
      <c r="CC7" s="5"/>
      <c r="CD7" s="5"/>
      <c r="CE7" s="5"/>
      <c r="CF7" s="5"/>
      <c r="CG7" s="5"/>
    </row>
    <row r="8" spans="1:85">
      <c r="A8" t="s">
        <v>40</v>
      </c>
      <c r="B8" s="4">
        <v>53298.3399814635</v>
      </c>
      <c r="C8" s="4">
        <v>7236.375150012645</v>
      </c>
      <c r="D8" s="4">
        <v>8010.097702635379</v>
      </c>
      <c r="E8" s="4">
        <v>8810.013033796349</v>
      </c>
      <c r="F8" s="4">
        <v>9621.899997638175</v>
      </c>
      <c r="G8" s="4">
        <v>10428.22210690228</v>
      </c>
      <c r="H8" s="4">
        <v>11208.47552808572</v>
      </c>
      <c r="I8" s="4">
        <v>11939.89558431212</v>
      </c>
      <c r="J8" s="4">
        <v>12598.53580213485</v>
      </c>
      <c r="K8" s="4">
        <v>13160.6778499659</v>
      </c>
      <c r="L8" s="4">
        <v>13604.46587369396</v>
      </c>
      <c r="M8" s="4">
        <v>13911.5979840763</v>
      </c>
      <c r="N8" s="4">
        <v>14068.86735452819</v>
      </c>
      <c r="O8" s="4">
        <v>14069.34023859646</v>
      </c>
      <c r="P8" s="4">
        <v>13912.99561293141</v>
      </c>
      <c r="Q8" s="4">
        <v>13606.72713838689</v>
      </c>
      <c r="R8" s="4">
        <v>13163.70713055346</v>
      </c>
      <c r="S8" s="4">
        <v>12602.21130240269</v>
      </c>
      <c r="T8" s="4">
        <v>11944.07922297373</v>
      </c>
      <c r="U8" s="4">
        <v>11213.02308773593</v>
      </c>
      <c r="V8" s="4">
        <v>10432.99248949083</v>
      </c>
      <c r="W8" s="4">
        <v>9626.762753943563</v>
      </c>
      <c r="X8" s="4">
        <v>8814.853725784575</v>
      </c>
      <c r="Y8" s="4">
        <v>8014.821029183106</v>
      </c>
      <c r="Z8" s="4">
        <v>7240.906054551597</v>
      </c>
      <c r="AA8" s="4">
        <v>6503.991871190025</v>
      </c>
      <c r="AB8" s="4">
        <v>5811.791777134058</v>
      </c>
      <c r="AC8" s="4">
        <v>5169.192824343394</v>
      </c>
      <c r="AD8" s="4">
        <v>4578.683733630751</v>
      </c>
      <c r="AE8" s="4">
        <v>4040.810089009057</v>
      </c>
      <c r="AF8" s="4">
        <v>3554.615324276674</v>
      </c>
      <c r="AG8" s="4">
        <v>3118.040838389075</v>
      </c>
      <c r="AH8" s="4">
        <v>2728.270959808375</v>
      </c>
      <c r="AI8" s="4">
        <v>2382.01782048418</v>
      </c>
      <c r="AJ8" s="4">
        <v>2075.747580784955</v>
      </c>
      <c r="AK8" s="4">
        <v>1805.853319563728</v>
      </c>
      <c r="AL8" s="4">
        <v>1568.781854518922</v>
      </c>
      <c r="AM8" s="4">
        <v>1361.122360343812</v>
      </c>
      <c r="AN8" s="4">
        <v>1179.664392006234</v>
      </c>
      <c r="AO8" s="4">
        <v>1021.432171690569</v>
      </c>
      <c r="AP8" s="4">
        <v>883.7010256593931</v>
      </c>
      <c r="AQ8" s="4">
        <v>764.000835368468</v>
      </c>
      <c r="AR8" s="4">
        <v>660.1103996010497</v>
      </c>
      <c r="AS8" s="4">
        <v>570.0457453737617</v>
      </c>
      <c r="AT8" s="4">
        <v>492.044696329569</v>
      </c>
      <c r="AU8" s="4">
        <v>424.5494092221488</v>
      </c>
      <c r="AV8" s="4">
        <v>366.1881117813755</v>
      </c>
      <c r="AW8" s="4">
        <v>315.756903142028</v>
      </c>
      <c r="AX8" s="4">
        <v>272.2021940578707</v>
      </c>
      <c r="AY8" s="4">
        <v>234.6041518058046</v>
      </c>
      <c r="AZ8" s="4">
        <v>202.1613592476933</v>
      </c>
      <c r="BA8" s="4">
        <v>174.1767862818087</v>
      </c>
      <c r="BB8" s="4">
        <v>150.0450944782933</v>
      </c>
      <c r="BC8" s="4">
        <v>129.2412436070153</v>
      </c>
      <c r="BD8" s="4">
        <v>111.3103354278137</v>
      </c>
      <c r="BE8" s="4">
        <v>95.85861035721609</v>
      </c>
      <c r="BF8" s="4">
        <v>82.54550254985224</v>
      </c>
      <c r="BG8" s="4">
        <v>71.07665557373548</v>
      </c>
      <c r="BH8" s="4">
        <v>61.19780202128459</v>
      </c>
      <c r="BI8" s="4">
        <v>52.68941449496197</v>
      </c>
      <c r="BJ8" s="4">
        <v>45.36204125866061</v>
      </c>
      <c r="BK8" s="4">
        <v>39.05224665853893</v>
      </c>
      <c r="BL8" s="4">
        <v>33.61908360134112</v>
      </c>
      <c r="BM8" s="4">
        <v>28.94103255996015</v>
      </c>
      <c r="BN8" s="4">
        <v>24.91334851179272</v>
      </c>
      <c r="BO8" s="4">
        <v>21.44576373213204</v>
      </c>
      <c r="BP8" s="4">
        <v>18.46050040988484</v>
      </c>
      <c r="BQ8" s="4">
        <v>15.89055254519917</v>
      </c>
      <c r="BR8" s="4">
        <v>13.67820157081587</v>
      </c>
      <c r="BS8" s="4">
        <v>11.77373458509101</v>
      </c>
      <c r="BT8" s="4">
        <v>10.13433804659871</v>
      </c>
      <c r="BU8" s="4">
        <v>8.723143286420964</v>
      </c>
      <c r="BV8" s="4">
        <v>7.508403280517086</v>
      </c>
      <c r="BW8" s="4">
        <v>6.462782836693805</v>
      </c>
      <c r="BX8" s="4">
        <v>5.562746723007876</v>
      </c>
      <c r="BY8" s="4">
        <v>4.788032336218748</v>
      </c>
      <c r="BZ8" s="4">
        <v>4.121195311832707</v>
      </c>
      <c r="CA8" s="4">
        <v>3.5472180491779</v>
      </c>
      <c r="CB8" s="5"/>
      <c r="CC8" s="5"/>
      <c r="CD8" s="5"/>
      <c r="CE8" s="5"/>
      <c r="CF8" s="5"/>
      <c r="CG8" s="5"/>
    </row>
    <row r="9" spans="1:85">
      <c r="A9" t="s">
        <v>41</v>
      </c>
      <c r="B9" s="4">
        <v>26669.23804424486</v>
      </c>
      <c r="C9" s="4">
        <v>3649.905726649951</v>
      </c>
      <c r="D9" s="4">
        <v>4048.314892048034</v>
      </c>
      <c r="E9" s="4">
        <v>4462.521831362326</v>
      </c>
      <c r="F9" s="4">
        <v>4885.689988103048</v>
      </c>
      <c r="G9" s="4">
        <v>5309.226470569629</v>
      </c>
      <c r="H9" s="4">
        <v>5722.906263889985</v>
      </c>
      <c r="I9" s="4">
        <v>6115.17626601518</v>
      </c>
      <c r="J9" s="4">
        <v>6473.654429998227</v>
      </c>
      <c r="K9" s="4">
        <v>6785.812856735807</v>
      </c>
      <c r="L9" s="4">
        <v>7039.80076473784</v>
      </c>
      <c r="M9" s="4">
        <v>7225.32987374354</v>
      </c>
      <c r="N9" s="4">
        <v>7334.51910990187</v>
      </c>
      <c r="O9" s="4">
        <v>7362.585974610818</v>
      </c>
      <c r="P9" s="4">
        <v>7308.283875474284</v>
      </c>
      <c r="Q9" s="4">
        <v>7174.018262756566</v>
      </c>
      <c r="R9" s="4">
        <v>6965.623319042628</v>
      </c>
      <c r="S9" s="4">
        <v>6691.834145164714</v>
      </c>
      <c r="T9" s="4">
        <v>6363.534408061183</v>
      </c>
      <c r="U9" s="4">
        <v>5992.886444469448</v>
      </c>
      <c r="V9" s="4">
        <v>5592.455589385907</v>
      </c>
      <c r="W9" s="4">
        <v>5174.425009310507</v>
      </c>
      <c r="X9" s="4">
        <v>4749.968256480293</v>
      </c>
      <c r="Y9" s="4">
        <v>4328.812700614129</v>
      </c>
      <c r="Z9" s="4">
        <v>3918.995637752494</v>
      </c>
      <c r="AA9" s="4">
        <v>3526.791269933223</v>
      </c>
      <c r="AB9" s="4">
        <v>3156.772822288884</v>
      </c>
      <c r="AC9" s="4">
        <v>2811.969175451901</v>
      </c>
      <c r="AD9" s="4">
        <v>2494.077373112232</v>
      </c>
      <c r="AE9" s="4">
        <v>2203.698557448864</v>
      </c>
      <c r="AF9" s="4">
        <v>1940.572880263877</v>
      </c>
      <c r="AG9" s="4">
        <v>1703.796954078512</v>
      </c>
      <c r="AH9" s="4">
        <v>1492.014368412318</v>
      </c>
      <c r="AI9" s="4">
        <v>1303.575223905267</v>
      </c>
      <c r="AJ9" s="4">
        <v>1136.664473681245</v>
      </c>
      <c r="AK9" s="4">
        <v>989.4012947879091</v>
      </c>
      <c r="AL9" s="4">
        <v>859.9130360320851</v>
      </c>
      <c r="AM9" s="4">
        <v>746.387809911248</v>
      </c>
      <c r="AN9" s="4">
        <v>647.1097875506093</v>
      </c>
      <c r="AO9" s="4">
        <v>560.4809321484063</v>
      </c>
      <c r="AP9" s="4">
        <v>485.0324253361905</v>
      </c>
      <c r="AQ9" s="4">
        <v>419.4285078488465</v>
      </c>
      <c r="AR9" s="4">
        <v>362.4649363385106</v>
      </c>
      <c r="AS9" s="4">
        <v>313.0637881334987</v>
      </c>
      <c r="AT9" s="4">
        <v>270.2659413101792</v>
      </c>
      <c r="AU9" s="4">
        <v>233.2222221551929</v>
      </c>
      <c r="AV9" s="4">
        <v>201.1839421491313</v>
      </c>
      <c r="AW9" s="4">
        <v>173.4933345621685</v>
      </c>
      <c r="AX9" s="4">
        <v>149.5742377977294</v>
      </c>
      <c r="AY9" s="4">
        <v>128.9232499439968</v>
      </c>
      <c r="AZ9" s="4">
        <v>111.1014885164623</v>
      </c>
      <c r="BA9" s="4">
        <v>95.72702411914361</v>
      </c>
      <c r="BB9" s="4">
        <v>82.46801086061168</v>
      </c>
      <c r="BC9" s="4">
        <v>71.03650510057923</v>
      </c>
      <c r="BD9" s="4">
        <v>61.18294370960211</v>
      </c>
      <c r="BE9" s="4">
        <v>52.6912405648618</v>
      </c>
      <c r="BF9" s="4">
        <v>45.37445322715212</v>
      </c>
      <c r="BG9" s="4">
        <v>39.07096894696588</v>
      </c>
      <c r="BH9" s="4">
        <v>33.6411590729258</v>
      </c>
      <c r="BI9" s="4">
        <v>28.964452630491</v>
      </c>
      <c r="BJ9" s="4">
        <v>24.93678264811751</v>
      </c>
      <c r="BK9" s="4">
        <v>21.46836223712307</v>
      </c>
      <c r="BL9" s="4">
        <v>18.48175114716287</v>
      </c>
      <c r="BM9" s="4">
        <v>15.91017729180749</v>
      </c>
      <c r="BN9" s="4">
        <v>13.69608141633216</v>
      </c>
      <c r="BO9" s="4">
        <v>11.78985657001613</v>
      </c>
      <c r="BP9" s="4">
        <v>10.14875728471088</v>
      </c>
      <c r="BQ9" s="4">
        <v>8.73595633811783</v>
      </c>
      <c r="BR9" s="4">
        <v>7.519729667284992</v>
      </c>
      <c r="BS9" s="4">
        <v>6.472752418048913</v>
      </c>
      <c r="BT9" s="4">
        <v>5.571491270558909</v>
      </c>
      <c r="BU9" s="4">
        <v>4.795680088223889</v>
      </c>
      <c r="BV9" s="4">
        <v>4.127867627365049</v>
      </c>
      <c r="BW9" s="4">
        <v>3.553027521877084</v>
      </c>
      <c r="BX9" s="4">
        <v>3.058222055551596</v>
      </c>
      <c r="BY9" s="4">
        <v>2.632312370813452</v>
      </c>
      <c r="BZ9" s="4">
        <v>2.265708746388555</v>
      </c>
      <c r="CA9" s="5"/>
      <c r="CB9" s="5"/>
      <c r="CC9" s="5"/>
      <c r="CD9" s="5"/>
      <c r="CE9" s="5"/>
      <c r="CF9" s="5"/>
      <c r="CG9" s="5"/>
    </row>
    <row r="10" spans="1:85">
      <c r="A10" t="s">
        <v>42</v>
      </c>
      <c r="B10" s="4">
        <v>24635.96172116926</v>
      </c>
      <c r="C10" s="4">
        <v>3396.943952138823</v>
      </c>
      <c r="D10" s="4">
        <v>3774.929060009945</v>
      </c>
      <c r="E10" s="4">
        <v>4169.950847085303</v>
      </c>
      <c r="F10" s="4">
        <v>4575.97674648933</v>
      </c>
      <c r="G10" s="4">
        <v>4985.274135743501</v>
      </c>
      <c r="H10" s="4">
        <v>5388.47921589476</v>
      </c>
      <c r="I10" s="4">
        <v>5774.830351588964</v>
      </c>
      <c r="J10" s="4">
        <v>6132.587085355466</v>
      </c>
      <c r="K10" s="4">
        <v>6449.633368807547</v>
      </c>
      <c r="L10" s="4">
        <v>6714.233374646559</v>
      </c>
      <c r="M10" s="4">
        <v>6915.875403472775</v>
      </c>
      <c r="N10" s="4">
        <v>7046.111282150756</v>
      </c>
      <c r="O10" s="4">
        <v>7099.283542038407</v>
      </c>
      <c r="P10" s="4">
        <v>7073.037049256483</v>
      </c>
      <c r="Q10" s="4">
        <v>6968.537610851025</v>
      </c>
      <c r="R10" s="4">
        <v>6790.363356299858</v>
      </c>
      <c r="S10" s="4">
        <v>6546.085966716331</v>
      </c>
      <c r="T10" s="4">
        <v>6245.606082942861</v>
      </c>
      <c r="U10" s="4">
        <v>5900.339762597665</v>
      </c>
      <c r="V10" s="4">
        <v>5522.364609391487</v>
      </c>
      <c r="W10" s="4">
        <v>5123.625168217317</v>
      </c>
      <c r="X10" s="4">
        <v>4715.272587313229</v>
      </c>
      <c r="Y10" s="4">
        <v>4307.181386832497</v>
      </c>
      <c r="Z10" s="4">
        <v>3907.654393120174</v>
      </c>
      <c r="AA10" s="4">
        <v>3523.301321087522</v>
      </c>
      <c r="AB10" s="4">
        <v>3159.059944423498</v>
      </c>
      <c r="AC10" s="4">
        <v>2818.321385462506</v>
      </c>
      <c r="AD10" s="4">
        <v>2503.121060480567</v>
      </c>
      <c r="AE10" s="4">
        <v>2214.361727595504</v>
      </c>
      <c r="AF10" s="4">
        <v>1952.042443805403</v>
      </c>
      <c r="AG10" s="4">
        <v>1715.475107925129</v>
      </c>
      <c r="AH10" s="4">
        <v>1503.47739006675</v>
      </c>
      <c r="AI10" s="4">
        <v>1314.536591801269</v>
      </c>
      <c r="AJ10" s="4">
        <v>1146.943175130436</v>
      </c>
      <c r="AK10" s="4">
        <v>998.895462717599</v>
      </c>
      <c r="AL10" s="4">
        <v>868.5786076084187</v>
      </c>
      <c r="AM10" s="4">
        <v>754.2216572344478</v>
      </c>
      <c r="AN10" s="4">
        <v>654.1366708543501</v>
      </c>
      <c r="AO10" s="4">
        <v>566.7436183964019</v>
      </c>
      <c r="AP10" s="4">
        <v>490.5843614442856</v>
      </c>
      <c r="AQ10" s="4">
        <v>424.3285110027355</v>
      </c>
      <c r="AR10" s="4">
        <v>366.7734463940142</v>
      </c>
      <c r="AS10" s="4">
        <v>316.8403081493452</v>
      </c>
      <c r="AT10" s="4">
        <v>273.5673660769826</v>
      </c>
      <c r="AU10" s="4">
        <v>236.1018185250286</v>
      </c>
      <c r="AV10" s="4">
        <v>203.6907984607096</v>
      </c>
      <c r="AW10" s="4">
        <v>175.6721400067327</v>
      </c>
      <c r="AX10" s="4">
        <v>151.4652873010491</v>
      </c>
      <c r="AY10" s="4">
        <v>130.5625973404385</v>
      </c>
      <c r="AZ10" s="4">
        <v>112.5211917857232</v>
      </c>
      <c r="BA10" s="4">
        <v>96.95544244078337</v>
      </c>
      <c r="BB10" s="4">
        <v>83.53012525747181</v>
      </c>
      <c r="BC10" s="4">
        <v>71.95424336820724</v>
      </c>
      <c r="BD10" s="4">
        <v>61.97549687811988</v>
      </c>
      <c r="BE10" s="4">
        <v>53.3753628776758</v>
      </c>
      <c r="BF10" s="4">
        <v>45.96474099656916</v>
      </c>
      <c r="BG10" s="4">
        <v>39.58011601679027</v>
      </c>
      <c r="BH10" s="4">
        <v>34.08018823122256</v>
      </c>
      <c r="BI10" s="4">
        <v>29.34292338983505</v>
      </c>
      <c r="BJ10" s="4">
        <v>25.26297649464686</v>
      </c>
      <c r="BK10" s="4">
        <v>21.74944684762158</v>
      </c>
      <c r="BL10" s="4">
        <v>18.72392528213095</v>
      </c>
      <c r="BM10" s="4">
        <v>16.1187981464609</v>
      </c>
      <c r="BN10" s="4">
        <v>13.87577619418153</v>
      </c>
      <c r="BO10" s="4">
        <v>11.94461997240433</v>
      </c>
      <c r="BP10" s="4">
        <v>10.28203650345677</v>
      </c>
      <c r="BQ10" s="4">
        <v>8.850725011696341</v>
      </c>
      <c r="BR10" s="4">
        <v>7.61855213259696</v>
      </c>
      <c r="BS10" s="4">
        <v>6.557839454384521</v>
      </c>
      <c r="BT10" s="4">
        <v>5.644748406280996</v>
      </c>
      <c r="BU10" s="4">
        <v>4.85874942317605</v>
      </c>
      <c r="BV10" s="4">
        <v>4.18216400910751</v>
      </c>
      <c r="BW10" s="4">
        <v>3.599769817199558</v>
      </c>
      <c r="BX10" s="4">
        <v>3.098460165172582</v>
      </c>
      <c r="BY10" s="4">
        <v>2.666950554441428</v>
      </c>
      <c r="BZ10" s="5"/>
      <c r="CA10" s="5"/>
      <c r="CB10" s="5"/>
      <c r="CC10" s="5"/>
      <c r="CD10" s="5"/>
      <c r="CE10" s="5"/>
      <c r="CF10" s="5"/>
      <c r="CG10" s="5"/>
    </row>
    <row r="11" spans="1:85">
      <c r="A11" t="s">
        <v>43</v>
      </c>
      <c r="B11" s="4">
        <v>57660.95789144165</v>
      </c>
      <c r="C11" s="4">
        <v>7755.857002362158</v>
      </c>
      <c r="D11" s="4">
        <v>8565.030821244698</v>
      </c>
      <c r="E11" s="4">
        <v>9396.073752548837</v>
      </c>
      <c r="F11" s="4">
        <v>10233.01639173008</v>
      </c>
      <c r="G11" s="4">
        <v>11056.56712927045</v>
      </c>
      <c r="H11" s="4">
        <v>11844.60576732682</v>
      </c>
      <c r="I11" s="4">
        <v>12573.05786291894</v>
      </c>
      <c r="J11" s="4">
        <v>13217.14432318327</v>
      </c>
      <c r="K11" s="4">
        <v>13752.93855468967</v>
      </c>
      <c r="L11" s="4">
        <v>14159.09636657423</v>
      </c>
      <c r="M11" s="4">
        <v>14418.56716128287</v>
      </c>
      <c r="N11" s="4">
        <v>14520.065604601</v>
      </c>
      <c r="O11" s="4">
        <v>14459.09390407414</v>
      </c>
      <c r="P11" s="4">
        <v>14238.35956753147</v>
      </c>
      <c r="Q11" s="4">
        <v>13867.52323202864</v>
      </c>
      <c r="R11" s="4">
        <v>13362.31618165332</v>
      </c>
      <c r="S11" s="4">
        <v>12743.16289036477</v>
      </c>
      <c r="T11" s="4">
        <v>12033.50873971038</v>
      </c>
      <c r="U11" s="4">
        <v>11258.07509623375</v>
      </c>
      <c r="V11" s="4">
        <v>10441.24374376761</v>
      </c>
      <c r="W11" s="4">
        <v>9605.721305865969</v>
      </c>
      <c r="X11" s="4">
        <v>8771.568224749819</v>
      </c>
      <c r="Y11" s="4">
        <v>7955.612226411293</v>
      </c>
      <c r="Z11" s="4">
        <v>7171.214645558444</v>
      </c>
      <c r="AA11" s="4">
        <v>6428.325022696867</v>
      </c>
      <c r="AB11" s="4">
        <v>5733.745011406718</v>
      </c>
      <c r="AC11" s="4">
        <v>5091.523207158491</v>
      </c>
      <c r="AD11" s="4">
        <v>4503.412880766962</v>
      </c>
      <c r="AE11" s="4">
        <v>3969.339772315987</v>
      </c>
      <c r="AF11" s="4">
        <v>3487.843173229659</v>
      </c>
      <c r="AG11" s="4">
        <v>3056.467986026895</v>
      </c>
      <c r="AH11" s="4">
        <v>2672.097056876519</v>
      </c>
      <c r="AI11" s="4">
        <v>2331.221513617609</v>
      </c>
      <c r="AJ11" s="4">
        <v>2030.152375288017</v>
      </c>
      <c r="AK11" s="4">
        <v>1765.179869811225</v>
      </c>
      <c r="AL11" s="4">
        <v>1532.688316499232</v>
      </c>
      <c r="AM11" s="4">
        <v>1329.234662146424</v>
      </c>
      <c r="AN11" s="4">
        <v>1151.598262104089</v>
      </c>
      <c r="AO11" s="4">
        <v>996.8086123298854</v>
      </c>
      <c r="AP11" s="4">
        <v>862.1567002601805</v>
      </c>
      <c r="AQ11" s="4">
        <v>745.1946008338709</v>
      </c>
      <c r="AR11" s="4">
        <v>643.7269845851115</v>
      </c>
      <c r="AS11" s="4">
        <v>555.7973687555059</v>
      </c>
      <c r="AT11" s="4">
        <v>479.6712426006561</v>
      </c>
      <c r="AU11" s="4">
        <v>413.8176302951179</v>
      </c>
      <c r="AV11" s="4">
        <v>356.8902058632812</v>
      </c>
      <c r="AW11" s="4">
        <v>307.7087274405058</v>
      </c>
      <c r="AX11" s="4">
        <v>265.2412953080493</v>
      </c>
      <c r="AY11" s="4">
        <v>228.587743144366</v>
      </c>
      <c r="AZ11" s="4">
        <v>196.9643303381163</v>
      </c>
      <c r="BA11" s="4">
        <v>169.6898028774303</v>
      </c>
      <c r="BB11" s="4">
        <v>146.1728212946327</v>
      </c>
      <c r="BC11" s="4">
        <v>125.9007084772456</v>
      </c>
      <c r="BD11" s="4">
        <v>108.4294416382909</v>
      </c>
      <c r="BE11" s="4">
        <v>93.37479655240895</v>
      </c>
      <c r="BF11" s="4">
        <v>80.40454471408157</v>
      </c>
      <c r="BG11" s="4">
        <v>69.23160260275472</v>
      </c>
      <c r="BH11" s="4">
        <v>59.60803473461419</v>
      </c>
      <c r="BI11" s="4">
        <v>51.31981722870842</v>
      </c>
      <c r="BJ11" s="4">
        <v>44.18227507959818</v>
      </c>
      <c r="BK11" s="4">
        <v>38.03611357236514</v>
      </c>
      <c r="BL11" s="4">
        <v>32.74397170572774</v>
      </c>
      <c r="BM11" s="4">
        <v>28.18743282573996</v>
      </c>
      <c r="BN11" s="4">
        <v>24.2644346668967</v>
      </c>
      <c r="BO11" s="4">
        <v>20.88702754670521</v>
      </c>
      <c r="BP11" s="4">
        <v>17.97943546285387</v>
      </c>
      <c r="BQ11" s="4">
        <v>15.47638032311806</v>
      </c>
      <c r="BR11" s="4">
        <v>13.32163444207981</v>
      </c>
      <c r="BS11" s="4">
        <v>11.46677084430121</v>
      </c>
      <c r="BT11" s="4">
        <v>9.870084806228988</v>
      </c>
      <c r="BU11" s="4">
        <v>8.495663517271169</v>
      </c>
      <c r="BV11" s="4">
        <v>7.312583773105871</v>
      </c>
      <c r="BW11" s="4">
        <v>6.294220268493518</v>
      </c>
      <c r="BX11" s="4">
        <v>5.417649383540265</v>
      </c>
      <c r="BY11" s="5"/>
      <c r="BZ11" s="5"/>
      <c r="CA11" s="5"/>
      <c r="CB11" s="5"/>
      <c r="CC11" s="5"/>
      <c r="CD11" s="5"/>
      <c r="CE11" s="5"/>
      <c r="CF11" s="5"/>
      <c r="CG11" s="5"/>
    </row>
    <row r="12" spans="1:85">
      <c r="A12" t="s">
        <v>44</v>
      </c>
      <c r="B12" s="4">
        <v>40897.13037408854</v>
      </c>
      <c r="C12" s="4">
        <v>5649.861773325152</v>
      </c>
      <c r="D12" s="4">
        <v>6281.593001614136</v>
      </c>
      <c r="E12" s="4">
        <v>6942.667332320918</v>
      </c>
      <c r="F12" s="4">
        <v>7623.200781994536</v>
      </c>
      <c r="G12" s="4">
        <v>8310.456400437033</v>
      </c>
      <c r="H12" s="4">
        <v>8988.938627883792</v>
      </c>
      <c r="I12" s="4">
        <v>9640.759415411856</v>
      </c>
      <c r="J12" s="4">
        <v>10246.31427709819</v>
      </c>
      <c r="K12" s="4">
        <v>10785.26968069664</v>
      </c>
      <c r="L12" s="4">
        <v>11237.81335714152</v>
      </c>
      <c r="M12" s="4">
        <v>11586.06390436985</v>
      </c>
      <c r="N12" s="4">
        <v>11815.48761819053</v>
      </c>
      <c r="O12" s="4">
        <v>11916.14273113228</v>
      </c>
      <c r="P12" s="4">
        <v>11883.57551579928</v>
      </c>
      <c r="Q12" s="4">
        <v>11719.23312367813</v>
      </c>
      <c r="R12" s="4">
        <v>11430.32868023729</v>
      </c>
      <c r="S12" s="4">
        <v>11029.17985459068</v>
      </c>
      <c r="T12" s="4">
        <v>10532.12282660656</v>
      </c>
      <c r="U12" s="4">
        <v>9958.160871047876</v>
      </c>
      <c r="V12" s="4">
        <v>9327.529662709858</v>
      </c>
      <c r="W12" s="4">
        <v>8660.349010190723</v>
      </c>
      <c r="X12" s="4">
        <v>7975.491195319017</v>
      </c>
      <c r="Y12" s="4">
        <v>7289.742639520729</v>
      </c>
      <c r="Z12" s="4">
        <v>6617.281757609511</v>
      </c>
      <c r="AA12" s="4">
        <v>5969.45176225953</v>
      </c>
      <c r="AB12" s="4">
        <v>5354.778039514553</v>
      </c>
      <c r="AC12" s="4">
        <v>4779.16604003153</v>
      </c>
      <c r="AD12" s="4">
        <v>4246.214723008045</v>
      </c>
      <c r="AE12" s="4">
        <v>3757.588296136062</v>
      </c>
      <c r="AF12" s="4">
        <v>3313.401139686466</v>
      </c>
      <c r="AG12" s="4">
        <v>2912.584041280148</v>
      </c>
      <c r="AH12" s="4">
        <v>2553.211991047021</v>
      </c>
      <c r="AI12" s="4">
        <v>2232.783649224497</v>
      </c>
      <c r="AJ12" s="4">
        <v>1948.449860584864</v>
      </c>
      <c r="AK12" s="4">
        <v>1697.193422483164</v>
      </c>
      <c r="AL12" s="4">
        <v>1475.965141688008</v>
      </c>
      <c r="AM12" s="4">
        <v>1281.782541398774</v>
      </c>
      <c r="AN12" s="4">
        <v>1111.797874745738</v>
      </c>
      <c r="AO12" s="4">
        <v>963.3417532750755</v>
      </c>
      <c r="AP12" s="4">
        <v>833.9480011367123</v>
      </c>
      <c r="AQ12" s="4">
        <v>721.3645015995717</v>
      </c>
      <c r="AR12" s="4">
        <v>623.5539429652272</v>
      </c>
      <c r="AS12" s="4">
        <v>538.6875719540403</v>
      </c>
      <c r="AT12" s="4">
        <v>465.1343621345586</v>
      </c>
      <c r="AU12" s="4">
        <v>401.4474158296362</v>
      </c>
      <c r="AV12" s="4">
        <v>346.3489381631371</v>
      </c>
      <c r="AW12" s="4">
        <v>298.7147413185448</v>
      </c>
      <c r="AX12" s="4">
        <v>257.5589419976459</v>
      </c>
      <c r="AY12" s="4">
        <v>222.0192910168553</v>
      </c>
      <c r="AZ12" s="4">
        <v>191.3434073100216</v>
      </c>
      <c r="BA12" s="4">
        <v>164.8760672382195</v>
      </c>
      <c r="BB12" s="4">
        <v>142.0476138025988</v>
      </c>
      <c r="BC12" s="4">
        <v>122.3634907215601</v>
      </c>
      <c r="BD12" s="4">
        <v>105.3948666573851</v>
      </c>
      <c r="BE12" s="4">
        <v>90.7702898522839</v>
      </c>
      <c r="BF12" s="4">
        <v>78.1682990276604</v>
      </c>
      <c r="BG12" s="4">
        <v>67.31090946827317</v>
      </c>
      <c r="BH12" s="4">
        <v>57.95789147634059</v>
      </c>
      <c r="BI12" s="4">
        <v>49.90176008013077</v>
      </c>
      <c r="BJ12" s="4">
        <v>42.9633987955749</v>
      </c>
      <c r="BK12" s="4">
        <v>36.9882454474573</v>
      </c>
      <c r="BL12" s="4">
        <v>31.84297393338056</v>
      </c>
      <c r="BM12" s="4">
        <v>27.41261191898957</v>
      </c>
      <c r="BN12" s="4">
        <v>23.59804049506783</v>
      </c>
      <c r="BO12" s="4">
        <v>20.31382761377608</v>
      </c>
      <c r="BP12" s="4">
        <v>17.48635254567489</v>
      </c>
      <c r="BQ12" s="4">
        <v>15.05218359618448</v>
      </c>
      <c r="BR12" s="4">
        <v>12.95667586382478</v>
      </c>
      <c r="BS12" s="4">
        <v>11.15275992336683</v>
      </c>
      <c r="BT12" s="4">
        <v>9.599895971419755</v>
      </c>
      <c r="BU12" s="4">
        <v>8.263171234575566</v>
      </c>
      <c r="BV12" s="4">
        <v>7.112521306495182</v>
      </c>
      <c r="BW12" s="4">
        <v>6.122058616194408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>
      <c r="A13" t="s">
        <v>45</v>
      </c>
      <c r="B13" s="4">
        <v>43275.3023715133</v>
      </c>
      <c r="C13" s="4">
        <v>5927.869064842671</v>
      </c>
      <c r="D13" s="4">
        <v>6576.421828183025</v>
      </c>
      <c r="E13" s="4">
        <v>7251.110993831804</v>
      </c>
      <c r="F13" s="4">
        <v>7940.898616967585</v>
      </c>
      <c r="G13" s="4">
        <v>8631.879888268202</v>
      </c>
      <c r="H13" s="4">
        <v>9307.475303787083</v>
      </c>
      <c r="I13" s="4">
        <v>9948.914470184609</v>
      </c>
      <c r="J13" s="4">
        <v>10536.0378404748</v>
      </c>
      <c r="K13" s="4">
        <v>11048.40009592319</v>
      </c>
      <c r="L13" s="4">
        <v>11466.60546421685</v>
      </c>
      <c r="M13" s="4">
        <v>11773.75060658014</v>
      </c>
      <c r="N13" s="4">
        <v>11956.80815611652</v>
      </c>
      <c r="O13" s="4">
        <v>12007.76716743252</v>
      </c>
      <c r="P13" s="4">
        <v>11924.36481250168</v>
      </c>
      <c r="Q13" s="4">
        <v>11710.29712826005</v>
      </c>
      <c r="R13" s="4">
        <v>11374.87570686417</v>
      </c>
      <c r="S13" s="4">
        <v>10932.18408529996</v>
      </c>
      <c r="T13" s="4">
        <v>10399.86187370043</v>
      </c>
      <c r="U13" s="4">
        <v>9797.690069594741</v>
      </c>
      <c r="V13" s="4">
        <v>9146.160195835721</v>
      </c>
      <c r="W13" s="4">
        <v>8465.185750571836</v>
      </c>
      <c r="X13" s="4">
        <v>7773.067659521999</v>
      </c>
      <c r="Y13" s="4">
        <v>7085.769936239725</v>
      </c>
      <c r="Z13" s="4">
        <v>6416.51026258996</v>
      </c>
      <c r="AA13" s="4">
        <v>5775.631126618711</v>
      </c>
      <c r="AB13" s="4">
        <v>5170.69382993289</v>
      </c>
      <c r="AC13" s="4">
        <v>4606.729190053768</v>
      </c>
      <c r="AD13" s="4">
        <v>4086.581642536912</v>
      </c>
      <c r="AE13" s="4">
        <v>3611.293360059964</v>
      </c>
      <c r="AF13" s="4">
        <v>3180.487992113864</v>
      </c>
      <c r="AG13" s="4">
        <v>2792.726740640239</v>
      </c>
      <c r="AH13" s="4">
        <v>2445.820925401</v>
      </c>
      <c r="AI13" s="4">
        <v>2137.094145839743</v>
      </c>
      <c r="AJ13" s="4">
        <v>1863.593499502051</v>
      </c>
      <c r="AK13" s="4">
        <v>1622.253365649784</v>
      </c>
      <c r="AL13" s="4">
        <v>1410.017481491901</v>
      </c>
      <c r="AM13" s="4">
        <v>1223.925930493337</v>
      </c>
      <c r="AN13" s="4">
        <v>1061.173674141173</v>
      </c>
      <c r="AO13" s="4">
        <v>919.1467455973034</v>
      </c>
      <c r="AP13" s="4">
        <v>795.4414453469799</v>
      </c>
      <c r="AQ13" s="4">
        <v>687.8710106251528</v>
      </c>
      <c r="AR13" s="4">
        <v>594.4633809035295</v>
      </c>
      <c r="AS13" s="4">
        <v>513.4529114086181</v>
      </c>
      <c r="AT13" s="4">
        <v>443.2682227403857</v>
      </c>
      <c r="AU13" s="4">
        <v>382.5178235725034</v>
      </c>
      <c r="AV13" s="4">
        <v>329.9746992585133</v>
      </c>
      <c r="AW13" s="4">
        <v>284.5607099931221</v>
      </c>
      <c r="AX13" s="4">
        <v>245.3313735964475</v>
      </c>
      <c r="AY13" s="4">
        <v>211.4614056489081</v>
      </c>
      <c r="AZ13" s="4">
        <v>182.2312403507531</v>
      </c>
      <c r="BA13" s="4">
        <v>157.0146476569353</v>
      </c>
      <c r="BB13" s="4">
        <v>135.267486329074</v>
      </c>
      <c r="BC13" s="4">
        <v>116.5175807781052</v>
      </c>
      <c r="BD13" s="4">
        <v>100.3556757137994</v>
      </c>
      <c r="BE13" s="4">
        <v>86.42740188085008</v>
      </c>
      <c r="BF13" s="4">
        <v>74.42617480334593</v>
      </c>
      <c r="BG13" s="4">
        <v>64.08694368833676</v>
      </c>
      <c r="BH13" s="4">
        <v>55.18070738262031</v>
      </c>
      <c r="BI13" s="4">
        <v>47.50971694273176</v>
      </c>
      <c r="BJ13" s="4">
        <v>40.90328891435638</v>
      </c>
      <c r="BK13" s="4">
        <v>35.21415897872066</v>
      </c>
      <c r="BL13" s="4">
        <v>30.31531166989589</v>
      </c>
      <c r="BM13" s="4">
        <v>26.09722802788019</v>
      </c>
      <c r="BN13" s="4">
        <v>22.46549905161373</v>
      </c>
      <c r="BO13" s="4">
        <v>19.33875852759229</v>
      </c>
      <c r="BP13" s="4">
        <v>16.6468941072817</v>
      </c>
      <c r="BQ13" s="4">
        <v>14.32950037636328</v>
      </c>
      <c r="BR13" s="4">
        <v>12.33454206318129</v>
      </c>
      <c r="BS13" s="4">
        <v>10.61719949328108</v>
      </c>
      <c r="BT13" s="4">
        <v>9.138871928211302</v>
      </c>
      <c r="BU13" s="4">
        <v>7.866317552688997</v>
      </c>
      <c r="BV13" s="4">
        <v>6.770911642699502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>
      <c r="A14" t="s">
        <v>46</v>
      </c>
      <c r="B14" s="4">
        <v>101359.1770187399</v>
      </c>
      <c r="C14" s="4">
        <v>13323.85299987442</v>
      </c>
      <c r="D14" s="4">
        <v>14630.78046731406</v>
      </c>
      <c r="E14" s="4">
        <v>15950.86258859681</v>
      </c>
      <c r="F14" s="4">
        <v>17254.380755627</v>
      </c>
      <c r="G14" s="4">
        <v>18507.01203541298</v>
      </c>
      <c r="H14" s="4">
        <v>19671.12226379302</v>
      </c>
      <c r="I14" s="4">
        <v>20707.6575252371</v>
      </c>
      <c r="J14" s="4">
        <v>21578.54194519189</v>
      </c>
      <c r="K14" s="4">
        <v>22249.38368383941</v>
      </c>
      <c r="L14" s="4">
        <v>22692.19773676357</v>
      </c>
      <c r="M14" s="4">
        <v>22887.80037650879</v>
      </c>
      <c r="N14" s="4">
        <v>22827.53767036507</v>
      </c>
      <c r="O14" s="4">
        <v>22514.0875371084</v>
      </c>
      <c r="P14" s="4">
        <v>21961.21009697998</v>
      </c>
      <c r="Q14" s="4">
        <v>21192.48558294476</v>
      </c>
      <c r="R14" s="4">
        <v>20239.23435431428</v>
      </c>
      <c r="S14" s="4">
        <v>19137.92413155112</v>
      </c>
      <c r="T14" s="4">
        <v>17927.41415488895</v>
      </c>
      <c r="U14" s="4">
        <v>16646.36271634628</v>
      </c>
      <c r="V14" s="4">
        <v>15331.04894580907</v>
      </c>
      <c r="W14" s="4">
        <v>14013.7571733176</v>
      </c>
      <c r="X14" s="4">
        <v>12721.76864174689</v>
      </c>
      <c r="Y14" s="4">
        <v>11476.9204160379</v>
      </c>
      <c r="Z14" s="4">
        <v>10295.6350849421</v>
      </c>
      <c r="AA14" s="4">
        <v>9189.298333951621</v>
      </c>
      <c r="AB14" s="4">
        <v>8164.859538797755</v>
      </c>
      <c r="AC14" s="4">
        <v>7225.545220386353</v>
      </c>
      <c r="AD14" s="4">
        <v>6371.598484906368</v>
      </c>
      <c r="AE14" s="4">
        <v>5600.983004438342</v>
      </c>
      <c r="AF14" s="4">
        <v>4910.013411033666</v>
      </c>
      <c r="AG14" s="4">
        <v>4293.892964310944</v>
      </c>
      <c r="AH14" s="4">
        <v>3747.153346274514</v>
      </c>
      <c r="AI14" s="4">
        <v>3264.000757635455</v>
      </c>
      <c r="AJ14" s="4">
        <v>2838.577952769352</v>
      </c>
      <c r="AK14" s="4">
        <v>2465.154419475119</v>
      </c>
      <c r="AL14" s="4">
        <v>2138.257490264601</v>
      </c>
      <c r="AM14" s="4">
        <v>1852.756512133987</v>
      </c>
      <c r="AN14" s="4">
        <v>1603.910865513491</v>
      </c>
      <c r="AO14" s="4">
        <v>1387.391003002413</v>
      </c>
      <c r="AP14" s="4">
        <v>1199.280026925611</v>
      </c>
      <c r="AQ14" s="4">
        <v>1036.061788636609</v>
      </c>
      <c r="AR14" s="4">
        <v>894.6001450711628</v>
      </c>
      <c r="AS14" s="4">
        <v>772.1128745640162</v>
      </c>
      <c r="AT14" s="4">
        <v>666.1428305626614</v>
      </c>
      <c r="AU14" s="4">
        <v>574.5281792627648</v>
      </c>
      <c r="AV14" s="4">
        <v>495.3729990476277</v>
      </c>
      <c r="AW14" s="4">
        <v>427.019088156987</v>
      </c>
      <c r="AX14" s="4">
        <v>368.0195060030092</v>
      </c>
      <c r="AY14" s="4">
        <v>317.1141397415195</v>
      </c>
      <c r="AZ14" s="4">
        <v>273.2074213973247</v>
      </c>
      <c r="BA14" s="4">
        <v>235.3482059298549</v>
      </c>
      <c r="BB14" s="4">
        <v>202.7117440799484</v>
      </c>
      <c r="BC14" s="4">
        <v>174.5836355972569</v>
      </c>
      <c r="BD14" s="4">
        <v>150.3456205916591</v>
      </c>
      <c r="BE14" s="4">
        <v>129.463053354877</v>
      </c>
      <c r="BF14" s="4">
        <v>111.4738995691296</v>
      </c>
      <c r="BG14" s="4">
        <v>95.97910105192568</v>
      </c>
      <c r="BH14" s="4">
        <v>82.63415966613684</v>
      </c>
      <c r="BI14" s="4">
        <v>71.14180201583076</v>
      </c>
      <c r="BJ14" s="4">
        <v>61.2455978266662</v>
      </c>
      <c r="BK14" s="4">
        <v>52.72441663860809</v>
      </c>
      <c r="BL14" s="4">
        <v>45.38761904009152</v>
      </c>
      <c r="BM14" s="4">
        <v>39.07088980439585</v>
      </c>
      <c r="BN14" s="4">
        <v>33.63263070548419</v>
      </c>
      <c r="BO14" s="4">
        <v>28.95084039820358</v>
      </c>
      <c r="BP14" s="4">
        <v>24.92041748971678</v>
      </c>
      <c r="BQ14" s="4">
        <v>21.45083080267068</v>
      </c>
      <c r="BR14" s="4">
        <v>18.46410786674824</v>
      </c>
      <c r="BS14" s="4">
        <v>15.89309894083999</v>
      </c>
      <c r="BT14" s="4">
        <v>13.67997938871849</v>
      </c>
      <c r="BU14" s="4">
        <v>11.77495809888933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spans="1:85">
      <c r="A15" t="s">
        <v>47</v>
      </c>
      <c r="B15" s="4">
        <v>56917.19477339675</v>
      </c>
      <c r="C15" s="4">
        <v>7977.178151439017</v>
      </c>
      <c r="D15" s="4">
        <v>8902.211150678726</v>
      </c>
      <c r="E15" s="4">
        <v>9879.836890035527</v>
      </c>
      <c r="F15" s="4">
        <v>10897.89308684663</v>
      </c>
      <c r="G15" s="4">
        <v>11939.96664041118</v>
      </c>
      <c r="H15" s="4">
        <v>12985.30452450339</v>
      </c>
      <c r="I15" s="4">
        <v>14009.07878867096</v>
      </c>
      <c r="J15" s="4">
        <v>14983.08833746219</v>
      </c>
      <c r="K15" s="4">
        <v>15876.94057674354</v>
      </c>
      <c r="L15" s="4">
        <v>16659.69299077059</v>
      </c>
      <c r="M15" s="4">
        <v>17301.85462158651</v>
      </c>
      <c r="N15" s="4">
        <v>17777.56433940609</v>
      </c>
      <c r="O15" s="4">
        <v>18066.69665355011</v>
      </c>
      <c r="P15" s="4">
        <v>18156.61738949677</v>
      </c>
      <c r="Q15" s="4">
        <v>18043.33535383194</v>
      </c>
      <c r="R15" s="4">
        <v>17731.87383890932</v>
      </c>
      <c r="S15" s="4">
        <v>17235.80364423105</v>
      </c>
      <c r="T15" s="4">
        <v>16576.01081063662</v>
      </c>
      <c r="U15" s="4">
        <v>15778.88662838563</v>
      </c>
      <c r="V15" s="4">
        <v>14874.19940166542</v>
      </c>
      <c r="W15" s="4">
        <v>13892.92484814086</v>
      </c>
      <c r="X15" s="4">
        <v>12865.27831047698</v>
      </c>
      <c r="Y15" s="4">
        <v>11819.1227588568</v>
      </c>
      <c r="Z15" s="4">
        <v>10778.8428860319</v>
      </c>
      <c r="AA15" s="4">
        <v>9764.696897116373</v>
      </c>
      <c r="AB15" s="4">
        <v>8792.597095759294</v>
      </c>
      <c r="AC15" s="4">
        <v>7874.233575268707</v>
      </c>
      <c r="AD15" s="4">
        <v>7017.441197151609</v>
      </c>
      <c r="AE15" s="4">
        <v>6226.713494806841</v>
      </c>
      <c r="AF15" s="4">
        <v>5503.781643190188</v>
      </c>
      <c r="AG15" s="4">
        <v>4848.196126456023</v>
      </c>
      <c r="AH15" s="4">
        <v>4257.868646661285</v>
      </c>
      <c r="AI15" s="4">
        <v>3729.549321996223</v>
      </c>
      <c r="AJ15" s="4">
        <v>3259.228012027626</v>
      </c>
      <c r="AK15" s="4">
        <v>2842.458454239822</v>
      </c>
      <c r="AL15" s="4">
        <v>2474.610218724702</v>
      </c>
      <c r="AM15" s="4">
        <v>2151.056995224732</v>
      </c>
      <c r="AN15" s="4">
        <v>1867.311181401601</v>
      </c>
      <c r="AO15" s="4">
        <v>1619.114826172474</v>
      </c>
      <c r="AP15" s="4">
        <v>1402.49624359532</v>
      </c>
      <c r="AQ15" s="4">
        <v>1213.800452382071</v>
      </c>
      <c r="AR15" s="4">
        <v>1049.700286036241</v>
      </c>
      <c r="AS15" s="4">
        <v>907.1937290480128</v>
      </c>
      <c r="AT15" s="4">
        <v>783.591860617511</v>
      </c>
      <c r="AU15" s="4">
        <v>676.5007728470373</v>
      </c>
      <c r="AV15" s="4">
        <v>583.7999863892328</v>
      </c>
      <c r="AW15" s="4">
        <v>503.6192052107072</v>
      </c>
      <c r="AX15" s="4">
        <v>434.3147156910854</v>
      </c>
      <c r="AY15" s="4">
        <v>374.4463221263723</v>
      </c>
      <c r="AZ15" s="4">
        <v>322.755399022426</v>
      </c>
      <c r="BA15" s="4">
        <v>278.1444102148525</v>
      </c>
      <c r="BB15" s="4">
        <v>239.6580782956444</v>
      </c>
      <c r="BC15" s="4">
        <v>206.4662703757058</v>
      </c>
      <c r="BD15" s="4">
        <v>177.8485859196517</v>
      </c>
      <c r="BE15" s="4">
        <v>153.1805797219276</v>
      </c>
      <c r="BF15" s="4">
        <v>131.9215206576046</v>
      </c>
      <c r="BG15" s="4">
        <v>113.6035689134151</v>
      </c>
      <c r="BH15" s="4">
        <v>97.82224666140974</v>
      </c>
      <c r="BI15" s="4">
        <v>84.22807638556696</v>
      </c>
      <c r="BJ15" s="4">
        <v>72.51926489191828</v>
      </c>
      <c r="BK15" s="4">
        <v>62.43531774199801</v>
      </c>
      <c r="BL15" s="4">
        <v>53.75147718755761</v>
      </c>
      <c r="BM15" s="4">
        <v>46.2738858096418</v>
      </c>
      <c r="BN15" s="4">
        <v>39.83538736653281</v>
      </c>
      <c r="BO15" s="4">
        <v>34.29188546782825</v>
      </c>
      <c r="BP15" s="4">
        <v>29.51918934175046</v>
      </c>
      <c r="BQ15" s="4">
        <v>25.41028403275413</v>
      </c>
      <c r="BR15" s="4">
        <v>21.87296975572826</v>
      </c>
      <c r="BS15" s="4">
        <v>18.82782184839016</v>
      </c>
      <c r="BT15" s="4">
        <v>16.20642878644867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spans="1:85">
      <c r="A16" t="s">
        <v>48</v>
      </c>
      <c r="B16" s="4">
        <v>104574.4709100203</v>
      </c>
      <c r="C16" s="4">
        <v>14020.96119123437</v>
      </c>
      <c r="D16" s="4">
        <v>15471.38678410636</v>
      </c>
      <c r="E16" s="4">
        <v>16957.59542790026</v>
      </c>
      <c r="F16" s="4">
        <v>18450.31292600959</v>
      </c>
      <c r="G16" s="4">
        <v>19914.41130064189</v>
      </c>
      <c r="H16" s="4">
        <v>21309.87263870446</v>
      </c>
      <c r="I16" s="4">
        <v>22593.4365026202</v>
      </c>
      <c r="J16" s="4">
        <v>23720.90836422803</v>
      </c>
      <c r="K16" s="4">
        <v>24649.9931473773</v>
      </c>
      <c r="L16" s="4">
        <v>25343.39890820259</v>
      </c>
      <c r="M16" s="4">
        <v>25771.8590712091</v>
      </c>
      <c r="N16" s="4">
        <v>25916.67731259036</v>
      </c>
      <c r="O16" s="4">
        <v>25771.42863270768</v>
      </c>
      <c r="P16" s="4">
        <v>25342.55704843166</v>
      </c>
      <c r="Q16" s="4">
        <v>24648.77614155388</v>
      </c>
      <c r="R16" s="4">
        <v>23719.3665011336</v>
      </c>
      <c r="S16" s="4">
        <v>22591.62983937841</v>
      </c>
      <c r="T16" s="4">
        <v>21307.86634240084</v>
      </c>
      <c r="U16" s="4">
        <v>19912.27114974917</v>
      </c>
      <c r="V16" s="4">
        <v>18448.10143265815</v>
      </c>
      <c r="W16" s="4">
        <v>16955.36887374392</v>
      </c>
      <c r="X16" s="4">
        <v>15469.19328330108</v>
      </c>
      <c r="Y16" s="4">
        <v>14018.83974047494</v>
      </c>
      <c r="Z16" s="4">
        <v>12627.37349834444</v>
      </c>
      <c r="AA16" s="4">
        <v>11311.81241360726</v>
      </c>
      <c r="AB16" s="4">
        <v>10083.63481424877</v>
      </c>
      <c r="AC16" s="4">
        <v>8949.504467245541</v>
      </c>
      <c r="AD16" s="4">
        <v>7912.094359265757</v>
      </c>
      <c r="AE16" s="4">
        <v>6970.918617587886</v>
      </c>
      <c r="AF16" s="4">
        <v>6123.110416005133</v>
      </c>
      <c r="AG16" s="4">
        <v>5364.10896078276</v>
      </c>
      <c r="AH16" s="4">
        <v>4688.238656140398</v>
      </c>
      <c r="AI16" s="4">
        <v>4089.177914229804</v>
      </c>
      <c r="AJ16" s="4">
        <v>3560.324360612663</v>
      </c>
      <c r="AK16" s="4">
        <v>3095.068391719135</v>
      </c>
      <c r="AL16" s="4">
        <v>2686.98925622052</v>
      </c>
      <c r="AM16" s="4">
        <v>2329.98804188834</v>
      </c>
      <c r="AN16" s="4">
        <v>2018.370945302537</v>
      </c>
      <c r="AO16" s="4">
        <v>1746.894567694515</v>
      </c>
      <c r="AP16" s="4">
        <v>1510.783114713267</v>
      </c>
      <c r="AQ16" s="4">
        <v>1305.725531052216</v>
      </c>
      <c r="AR16" s="4">
        <v>1127.858913566219</v>
      </c>
      <c r="AS16" s="4">
        <v>973.7430846759817</v>
      </c>
      <c r="AT16" s="4">
        <v>840.3299894640222</v>
      </c>
      <c r="AU16" s="4">
        <v>724.9305947559187</v>
      </c>
      <c r="AV16" s="4">
        <v>625.1811917858431</v>
      </c>
      <c r="AW16" s="4">
        <v>539.0104051767848</v>
      </c>
      <c r="AX16" s="4">
        <v>464.6077586141182</v>
      </c>
      <c r="AY16" s="4">
        <v>400.394312912249</v>
      </c>
      <c r="AZ16" s="4">
        <v>344.9956498406827</v>
      </c>
      <c r="BA16" s="4">
        <v>297.2173039382324</v>
      </c>
      <c r="BB16" s="4">
        <v>256.0226273115259</v>
      </c>
      <c r="BC16" s="4">
        <v>220.5129952952266</v>
      </c>
      <c r="BD16" s="4">
        <v>189.9102131655673</v>
      </c>
      <c r="BE16" s="4">
        <v>163.5409574842779</v>
      </c>
      <c r="BF16" s="4">
        <v>140.8230739410501</v>
      </c>
      <c r="BG16" s="4">
        <v>121.2535519904923</v>
      </c>
      <c r="BH16" s="4">
        <v>104.3980017540744</v>
      </c>
      <c r="BI16" s="4">
        <v>89.88146804517601</v>
      </c>
      <c r="BJ16" s="4">
        <v>77.38042818161193</v>
      </c>
      <c r="BK16" s="4">
        <v>66.61583323997911</v>
      </c>
      <c r="BL16" s="4">
        <v>57.34706567961257</v>
      </c>
      <c r="BM16" s="4">
        <v>49.36669930722564</v>
      </c>
      <c r="BN16" s="4">
        <v>42.49595993431285</v>
      </c>
      <c r="BO16" s="4">
        <v>36.58079665270634</v>
      </c>
      <c r="BP16" s="4">
        <v>31.48848426213954</v>
      </c>
      <c r="BQ16" s="4">
        <v>27.10468701459467</v>
      </c>
      <c r="BR16" s="4">
        <v>23.33092250267509</v>
      </c>
      <c r="BS16" s="4">
        <v>20.08237223804463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>
      <c r="A17" t="s">
        <v>49</v>
      </c>
      <c r="B17" s="4">
        <v>74240.07094473255</v>
      </c>
      <c r="C17" s="4">
        <v>9641.214476752604</v>
      </c>
      <c r="D17" s="4">
        <v>10555.81684958312</v>
      </c>
      <c r="E17" s="4">
        <v>11471.31112590617</v>
      </c>
      <c r="F17" s="4">
        <v>12365.61189418443</v>
      </c>
      <c r="G17" s="4">
        <v>13213.75909740722</v>
      </c>
      <c r="H17" s="4">
        <v>13988.99492431479</v>
      </c>
      <c r="I17" s="4">
        <v>14664.23857116268</v>
      </c>
      <c r="J17" s="4">
        <v>15213.86396088204</v>
      </c>
      <c r="K17" s="4">
        <v>15615.61330210007</v>
      </c>
      <c r="L17" s="4">
        <v>15852.42385178577</v>
      </c>
      <c r="M17" s="4">
        <v>15913.92437188778</v>
      </c>
      <c r="N17" s="4">
        <v>15797.38338394332</v>
      </c>
      <c r="O17" s="4">
        <v>15507.96363314983</v>
      </c>
      <c r="P17" s="4">
        <v>15058.24277144906</v>
      </c>
      <c r="Q17" s="4">
        <v>14467.07526831457</v>
      </c>
      <c r="R17" s="4">
        <v>13757.96801172005</v>
      </c>
      <c r="S17" s="4">
        <v>12957.20069662057</v>
      </c>
      <c r="T17" s="4">
        <v>12091.93264489085</v>
      </c>
      <c r="U17" s="4">
        <v>11188.50439992273</v>
      </c>
      <c r="V17" s="4">
        <v>10271.07971444196</v>
      </c>
      <c r="W17" s="4">
        <v>9360.699940524355</v>
      </c>
      <c r="X17" s="4">
        <v>8474.754996400734</v>
      </c>
      <c r="Y17" s="4">
        <v>7626.823968568002</v>
      </c>
      <c r="Z17" s="4">
        <v>6826.808206474641</v>
      </c>
      <c r="AA17" s="4">
        <v>6081.269118013675</v>
      </c>
      <c r="AB17" s="4">
        <v>5393.88710157678</v>
      </c>
      <c r="AC17" s="4">
        <v>4765.971406242985</v>
      </c>
      <c r="AD17" s="4">
        <v>4196.967984550633</v>
      </c>
      <c r="AE17" s="4">
        <v>3684.929735696409</v>
      </c>
      <c r="AF17" s="4">
        <v>3226.928596714453</v>
      </c>
      <c r="AG17" s="4">
        <v>2819.400686665613</v>
      </c>
      <c r="AH17" s="4">
        <v>2458.424017241108</v>
      </c>
      <c r="AI17" s="4">
        <v>2139.933555744297</v>
      </c>
      <c r="AJ17" s="4">
        <v>1859.881296736945</v>
      </c>
      <c r="AK17" s="4">
        <v>1614.35013223649</v>
      </c>
      <c r="AL17" s="4">
        <v>1399.630295558542</v>
      </c>
      <c r="AM17" s="4">
        <v>1212.266457159014</v>
      </c>
      <c r="AN17" s="4">
        <v>1049.082511973509</v>
      </c>
      <c r="AO17" s="4">
        <v>907.1899458070402</v>
      </c>
      <c r="AP17" s="4">
        <v>783.9845449728891</v>
      </c>
      <c r="AQ17" s="4">
        <v>677.1351968179806</v>
      </c>
      <c r="AR17" s="4">
        <v>584.5676539143897</v>
      </c>
      <c r="AS17" s="4">
        <v>504.4454092961387</v>
      </c>
      <c r="AT17" s="4">
        <v>435.1492460153531</v>
      </c>
      <c r="AU17" s="4">
        <v>375.2565654388163</v>
      </c>
      <c r="AV17" s="4">
        <v>323.5212460356997</v>
      </c>
      <c r="AW17" s="4">
        <v>278.854518875014</v>
      </c>
      <c r="AX17" s="4">
        <v>240.3071502211969</v>
      </c>
      <c r="AY17" s="4">
        <v>207.0530803239672</v>
      </c>
      <c r="AZ17" s="4">
        <v>178.3745681491564</v>
      </c>
      <c r="BA17" s="4">
        <v>153.6488241016632</v>
      </c>
      <c r="BB17" s="4">
        <v>132.3360686131055</v>
      </c>
      <c r="BC17" s="4">
        <v>113.9689274689299</v>
      </c>
      <c r="BD17" s="4">
        <v>98.14306005678372</v>
      </c>
      <c r="BE17" s="4">
        <v>84.50891063647578</v>
      </c>
      <c r="BF17" s="4">
        <v>72.76447253994411</v>
      </c>
      <c r="BG17" s="4">
        <v>62.64895887306193</v>
      </c>
      <c r="BH17" s="4">
        <v>53.93727934133494</v>
      </c>
      <c r="BI17" s="4">
        <v>46.43523023830494</v>
      </c>
      <c r="BJ17" s="4">
        <v>39.97531265695579</v>
      </c>
      <c r="BK17" s="4">
        <v>34.41310214821715</v>
      </c>
      <c r="BL17" s="4">
        <v>29.62410098908003</v>
      </c>
      <c r="BM17" s="4">
        <v>25.50101178413024</v>
      </c>
      <c r="BN17" s="4">
        <v>21.95137811347377</v>
      </c>
      <c r="BO17" s="4">
        <v>18.89554438693449</v>
      </c>
      <c r="BP17" s="4">
        <v>16.26489287364529</v>
      </c>
      <c r="BQ17" s="4">
        <v>14.00032110442407</v>
      </c>
      <c r="BR17" s="4">
        <v>12.05092751089251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>
      <c r="A18" t="s">
        <v>50</v>
      </c>
      <c r="B18" s="4">
        <v>75150.97475117981</v>
      </c>
      <c r="C18" s="4">
        <v>9931.059514501278</v>
      </c>
      <c r="D18" s="4">
        <v>10919.27915495796</v>
      </c>
      <c r="E18" s="4">
        <v>11921.32369950322</v>
      </c>
      <c r="F18" s="4">
        <v>12915.36451562634</v>
      </c>
      <c r="G18" s="4">
        <v>13875.9427416189</v>
      </c>
      <c r="H18" s="4">
        <v>14774.86325767636</v>
      </c>
      <c r="I18" s="4">
        <v>15582.54760795459</v>
      </c>
      <c r="J18" s="4">
        <v>16269.79078450339</v>
      </c>
      <c r="K18" s="4">
        <v>16809.78659122865</v>
      </c>
      <c r="L18" s="4">
        <v>17180.21208152774</v>
      </c>
      <c r="M18" s="4">
        <v>17365.11355326496</v>
      </c>
      <c r="N18" s="4">
        <v>17356.33264186454</v>
      </c>
      <c r="O18" s="4">
        <v>17154.25972013487</v>
      </c>
      <c r="P18" s="4">
        <v>16767.79748430953</v>
      </c>
      <c r="Q18" s="4">
        <v>16213.54045808665</v>
      </c>
      <c r="R18" s="4">
        <v>15514.29764877021</v>
      </c>
      <c r="S18" s="4">
        <v>14697.17765047919</v>
      </c>
      <c r="T18" s="4">
        <v>13791.49941928434</v>
      </c>
      <c r="U18" s="4">
        <v>12826.7834983386</v>
      </c>
      <c r="V18" s="4">
        <v>11831.02728174446</v>
      </c>
      <c r="W18" s="4">
        <v>10829.39233158954</v>
      </c>
      <c r="X18" s="4">
        <v>9843.351937384345</v>
      </c>
      <c r="Y18" s="4">
        <v>8890.27912221622</v>
      </c>
      <c r="Z18" s="4">
        <v>7983.408210463414</v>
      </c>
      <c r="AA18" s="4">
        <v>7132.078846225806</v>
      </c>
      <c r="AB18" s="4">
        <v>6342.166777067352</v>
      </c>
      <c r="AC18" s="4">
        <v>5616.614967797534</v>
      </c>
      <c r="AD18" s="4">
        <v>4955.995472791023</v>
      </c>
      <c r="AE18" s="4">
        <v>4359.0517960625</v>
      </c>
      <c r="AF18" s="4">
        <v>3823.189650228247</v>
      </c>
      <c r="AG18" s="4">
        <v>3344.899134754844</v>
      </c>
      <c r="AH18" s="4">
        <v>2920.102696961898</v>
      </c>
      <c r="AI18" s="4">
        <v>2544.430949154485</v>
      </c>
      <c r="AJ18" s="4">
        <v>2213.433063410164</v>
      </c>
      <c r="AK18" s="4">
        <v>1922.730777501361</v>
      </c>
      <c r="AL18" s="4">
        <v>1668.125724915997</v>
      </c>
      <c r="AM18" s="4">
        <v>1445.669442536309</v>
      </c>
      <c r="AN18" s="4">
        <v>1251.704465791874</v>
      </c>
      <c r="AO18" s="4">
        <v>1082.883714281663</v>
      </c>
      <c r="AP18" s="4">
        <v>936.1741107161506</v>
      </c>
      <c r="AQ18" s="4">
        <v>808.8491873517632</v>
      </c>
      <c r="AR18" s="4">
        <v>698.4743814807152</v>
      </c>
      <c r="AS18" s="4">
        <v>602.887829762476</v>
      </c>
      <c r="AT18" s="4">
        <v>520.1787406919175</v>
      </c>
      <c r="AU18" s="4">
        <v>448.6648421860882</v>
      </c>
      <c r="AV18" s="4">
        <v>386.869947817293</v>
      </c>
      <c r="AW18" s="4">
        <v>333.5023395150783</v>
      </c>
      <c r="AX18" s="4">
        <v>287.4344063460594</v>
      </c>
      <c r="AY18" s="4">
        <v>247.6837901101098</v>
      </c>
      <c r="AZ18" s="4">
        <v>213.3961535272538</v>
      </c>
      <c r="BA18" s="4">
        <v>183.8295929385349</v>
      </c>
      <c r="BB18" s="4">
        <v>158.3406544653117</v>
      </c>
      <c r="BC18" s="4">
        <v>136.3718723602942</v>
      </c>
      <c r="BD18" s="4">
        <v>117.4407245853799</v>
      </c>
      <c r="BE18" s="4">
        <v>101.129888691823</v>
      </c>
      <c r="BF18" s="4">
        <v>87.0786772465799</v>
      </c>
      <c r="BG18" s="4">
        <v>74.97553371300455</v>
      </c>
      <c r="BH18" s="4">
        <v>64.55147486837814</v>
      </c>
      <c r="BI18" s="4">
        <v>55.57437314861454</v>
      </c>
      <c r="BJ18" s="4">
        <v>47.84398074849742</v>
      </c>
      <c r="BK18" s="4">
        <v>41.18760618189117</v>
      </c>
      <c r="BL18" s="4">
        <v>35.45636285963701</v>
      </c>
      <c r="BM18" s="4">
        <v>30.52191777818371</v>
      </c>
      <c r="BN18" s="4">
        <v>26.27367643459002</v>
      </c>
      <c r="BO18" s="4">
        <v>22.61634749593213</v>
      </c>
      <c r="BP18" s="4">
        <v>19.46783751674229</v>
      </c>
      <c r="BQ18" s="4">
        <v>16.75743209995562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spans="1:85">
      <c r="A19" t="s">
        <v>51</v>
      </c>
      <c r="B19" s="4">
        <v>114403.6329729295</v>
      </c>
      <c r="C19" s="4">
        <v>15128.19584003459</v>
      </c>
      <c r="D19" s="4">
        <v>16636.26082245682</v>
      </c>
      <c r="E19" s="4">
        <v>18166.16010627383</v>
      </c>
      <c r="F19" s="4">
        <v>19684.70718573878</v>
      </c>
      <c r="G19" s="4">
        <v>21153.1483429849</v>
      </c>
      <c r="H19" s="4">
        <v>22528.51075304154</v>
      </c>
      <c r="I19" s="4">
        <v>23765.65197888415</v>
      </c>
      <c r="J19" s="4">
        <v>24819.92956085643</v>
      </c>
      <c r="K19" s="4">
        <v>25650.28708637127</v>
      </c>
      <c r="L19" s="4">
        <v>26222.43921695068</v>
      </c>
      <c r="M19" s="4">
        <v>26511.76352652488</v>
      </c>
      <c r="N19" s="4">
        <v>26505.49914099229</v>
      </c>
      <c r="O19" s="4">
        <v>26203.92455968104</v>
      </c>
      <c r="P19" s="4">
        <v>25620.33167648892</v>
      </c>
      <c r="Q19" s="4">
        <v>24779.80009002495</v>
      </c>
      <c r="R19" s="4">
        <v>23716.96190045518</v>
      </c>
      <c r="S19" s="4">
        <v>22473.08925228822</v>
      </c>
      <c r="T19" s="4">
        <v>21092.90589266305</v>
      </c>
      <c r="U19" s="4">
        <v>19621.51293746813</v>
      </c>
      <c r="V19" s="4">
        <v>18101.74214625265</v>
      </c>
      <c r="W19" s="4">
        <v>16572.13513510791</v>
      </c>
      <c r="X19" s="4">
        <v>15065.62490059587</v>
      </c>
      <c r="Y19" s="4">
        <v>13608.89157835173</v>
      </c>
      <c r="Z19" s="4">
        <v>12222.29161824612</v>
      </c>
      <c r="AA19" s="4">
        <v>10920.22176305274</v>
      </c>
      <c r="AB19" s="4">
        <v>9711.771608275012</v>
      </c>
      <c r="AC19" s="4">
        <v>8601.532252495759</v>
      </c>
      <c r="AD19" s="4">
        <v>7590.454119779402</v>
      </c>
      <c r="AE19" s="4">
        <v>6676.67649093701</v>
      </c>
      <c r="AF19" s="4">
        <v>5856.279127691756</v>
      </c>
      <c r="AG19" s="4">
        <v>5123.929575750255</v>
      </c>
      <c r="AH19" s="4">
        <v>4473.417192139314</v>
      </c>
      <c r="AI19" s="4">
        <v>3898.076839130372</v>
      </c>
      <c r="AJ19" s="4">
        <v>3391.112383941538</v>
      </c>
      <c r="AK19" s="4">
        <v>2945.833746100659</v>
      </c>
      <c r="AL19" s="4">
        <v>2555.822320253705</v>
      </c>
      <c r="AM19" s="4">
        <v>2215.039082506672</v>
      </c>
      <c r="AN19" s="4">
        <v>1917.888262278633</v>
      </c>
      <c r="AO19" s="4">
        <v>1659.247624216368</v>
      </c>
      <c r="AP19" s="4">
        <v>1434.474479859695</v>
      </c>
      <c r="AQ19" s="4">
        <v>1239.394729673979</v>
      </c>
      <c r="AR19" s="4">
        <v>1070.280623178347</v>
      </c>
      <c r="AS19" s="4">
        <v>923.8215572388144</v>
      </c>
      <c r="AT19" s="4">
        <v>797.09111144091</v>
      </c>
      <c r="AU19" s="4">
        <v>687.5126252248883</v>
      </c>
      <c r="AV19" s="4">
        <v>592.8249247176573</v>
      </c>
      <c r="AW19" s="4">
        <v>511.0492757736938</v>
      </c>
      <c r="AX19" s="4">
        <v>440.4582425794797</v>
      </c>
      <c r="AY19" s="4">
        <v>379.5468405606225</v>
      </c>
      <c r="AZ19" s="4">
        <v>327.0061644995585</v>
      </c>
      <c r="BA19" s="4">
        <v>281.6995281800628</v>
      </c>
      <c r="BB19" s="4">
        <v>242.6410547187552</v>
      </c>
      <c r="BC19" s="4">
        <v>208.9765946465777</v>
      </c>
      <c r="BD19" s="4">
        <v>179.9668120978167</v>
      </c>
      <c r="BE19" s="4">
        <v>154.9722608476877</v>
      </c>
      <c r="BF19" s="4">
        <v>133.440265843994</v>
      </c>
      <c r="BG19" s="4">
        <v>114.8934282484697</v>
      </c>
      <c r="BH19" s="4">
        <v>98.91957982140593</v>
      </c>
      <c r="BI19" s="4">
        <v>85.16302356182132</v>
      </c>
      <c r="BJ19" s="4">
        <v>73.31691038876306</v>
      </c>
      <c r="BK19" s="4">
        <v>63.11661518679466</v>
      </c>
      <c r="BL19" s="4">
        <v>54.33398907002993</v>
      </c>
      <c r="BM19" s="4">
        <v>46.77237776026595</v>
      </c>
      <c r="BN19" s="4">
        <v>40.26230825157836</v>
      </c>
      <c r="BO19" s="4">
        <v>34.65775727282744</v>
      </c>
      <c r="BP19" s="4">
        <v>29.83292541722767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>
      <c r="A20" t="s">
        <v>52</v>
      </c>
      <c r="B20" s="4">
        <v>45267.67092838367</v>
      </c>
      <c r="C20" s="4">
        <v>6153.325826508044</v>
      </c>
      <c r="D20" s="4">
        <v>6813.280686598206</v>
      </c>
      <c r="E20" s="4">
        <v>7496.146219853312</v>
      </c>
      <c r="F20" s="4">
        <v>8189.909471616629</v>
      </c>
      <c r="G20" s="4">
        <v>8879.716366196386</v>
      </c>
      <c r="H20" s="4">
        <v>9548.155039991398</v>
      </c>
      <c r="I20" s="4">
        <v>10175.8440198216</v>
      </c>
      <c r="J20" s="4">
        <v>10742.33924621309</v>
      </c>
      <c r="K20" s="4">
        <v>11227.32693828747</v>
      </c>
      <c r="L20" s="4">
        <v>11612.01402942349</v>
      </c>
      <c r="M20" s="4">
        <v>11880.57548664324</v>
      </c>
      <c r="N20" s="4">
        <v>12021.48220019962</v>
      </c>
      <c r="O20" s="4">
        <v>12028.5270345376</v>
      </c>
      <c r="P20" s="4">
        <v>11901.39679939274</v>
      </c>
      <c r="Q20" s="4">
        <v>11645.70146394227</v>
      </c>
      <c r="R20" s="4">
        <v>11272.45601556613</v>
      </c>
      <c r="S20" s="4">
        <v>10797.09552644522</v>
      </c>
      <c r="T20" s="4">
        <v>10238.17045156052</v>
      </c>
      <c r="U20" s="4">
        <v>9615.903150334168</v>
      </c>
      <c r="V20" s="4">
        <v>8950.784142204677</v>
      </c>
      <c r="W20" s="4">
        <v>8262.353530674212</v>
      </c>
      <c r="X20" s="4">
        <v>7568.261697096197</v>
      </c>
      <c r="Y20" s="4">
        <v>6883.64780315134</v>
      </c>
      <c r="Z20" s="4">
        <v>6220.826393783675</v>
      </c>
      <c r="AA20" s="4">
        <v>5589.238236945006</v>
      </c>
      <c r="AB20" s="4">
        <v>4995.603270222084</v>
      </c>
      <c r="AC20" s="4">
        <v>4444.209193895687</v>
      </c>
      <c r="AD20" s="4">
        <v>3937.274920235039</v>
      </c>
      <c r="AE20" s="4">
        <v>3475.3394306025</v>
      </c>
      <c r="AF20" s="4">
        <v>3057.639923678653</v>
      </c>
      <c r="AG20" s="4">
        <v>2682.455883129674</v>
      </c>
      <c r="AH20" s="4">
        <v>2347.406398317893</v>
      </c>
      <c r="AI20" s="4">
        <v>2049.696185035631</v>
      </c>
      <c r="AJ20" s="4">
        <v>1786.311323972768</v>
      </c>
      <c r="AK20" s="4">
        <v>1554.169138880854</v>
      </c>
      <c r="AL20" s="4">
        <v>1350.228372854239</v>
      </c>
      <c r="AM20" s="4">
        <v>1171.56638219225</v>
      </c>
      <c r="AN20" s="4">
        <v>1015.42987293948</v>
      </c>
      <c r="AO20" s="4">
        <v>879.2650797067326</v>
      </c>
      <c r="AP20" s="4">
        <v>760.7324606957845</v>
      </c>
      <c r="AQ20" s="4">
        <v>657.7101089947973</v>
      </c>
      <c r="AR20" s="4">
        <v>568.2892495403066</v>
      </c>
      <c r="AS20" s="4">
        <v>490.7644517694134</v>
      </c>
      <c r="AT20" s="4">
        <v>423.6205592523911</v>
      </c>
      <c r="AU20" s="4">
        <v>365.5178210343583</v>
      </c>
      <c r="AV20" s="4">
        <v>315.2762966547743</v>
      </c>
      <c r="AW20" s="4">
        <v>271.860284669674</v>
      </c>
      <c r="AX20" s="4">
        <v>234.3632784420042</v>
      </c>
      <c r="AY20" s="4">
        <v>201.9937687815982</v>
      </c>
      <c r="AZ20" s="4">
        <v>174.0620780428872</v>
      </c>
      <c r="BA20" s="4">
        <v>149.9683135734522</v>
      </c>
      <c r="BB20" s="4">
        <v>129.1914609879605</v>
      </c>
      <c r="BC20" s="4">
        <v>111.2795922888326</v>
      </c>
      <c r="BD20" s="4">
        <v>95.84113469865406</v>
      </c>
      <c r="BE20" s="4">
        <v>82.53712868463481</v>
      </c>
      <c r="BF20" s="4">
        <v>71.07439471385442</v>
      </c>
      <c r="BG20" s="4">
        <v>61.19952516164631</v>
      </c>
      <c r="BH20" s="4">
        <v>52.69361864431994</v>
      </c>
      <c r="BI20" s="4">
        <v>45.36767744680401</v>
      </c>
      <c r="BJ20" s="4">
        <v>39.0585936618736</v>
      </c>
      <c r="BK20" s="4">
        <v>33.62565545685356</v>
      </c>
      <c r="BL20" s="4">
        <v>28.94751101295697</v>
      </c>
      <c r="BM20" s="4">
        <v>24.91953383112559</v>
      </c>
      <c r="BN20" s="4">
        <v>21.4515390356537</v>
      </c>
      <c r="BO20" s="4">
        <v>18.46580590103986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spans="1:85">
      <c r="A21" t="s">
        <v>53</v>
      </c>
      <c r="B21" s="4">
        <v>51617.094714374</v>
      </c>
      <c r="C21" s="4">
        <v>6960.579692091305</v>
      </c>
      <c r="D21" s="4">
        <v>7691.664236307159</v>
      </c>
      <c r="E21" s="4">
        <v>8443.867137369627</v>
      </c>
      <c r="F21" s="4">
        <v>9203.023793397719</v>
      </c>
      <c r="G21" s="4">
        <v>9951.929781324798</v>
      </c>
      <c r="H21" s="4">
        <v>10670.75514600404</v>
      </c>
      <c r="I21" s="4">
        <v>11337.8017829788</v>
      </c>
      <c r="J21" s="4">
        <v>11930.60399448359</v>
      </c>
      <c r="K21" s="4">
        <v>12427.3169257593</v>
      </c>
      <c r="L21" s="4">
        <v>12808.2766157419</v>
      </c>
      <c r="M21" s="4">
        <v>13057.56234783615</v>
      </c>
      <c r="N21" s="4">
        <v>13164.36224047976</v>
      </c>
      <c r="O21" s="4">
        <v>13123.94892662909</v>
      </c>
      <c r="P21" s="4">
        <v>12938.11797381987</v>
      </c>
      <c r="Q21" s="4">
        <v>12615.02052831269</v>
      </c>
      <c r="R21" s="4">
        <v>12168.41649999924</v>
      </c>
      <c r="S21" s="4">
        <v>11616.46324693426</v>
      </c>
      <c r="T21" s="4">
        <v>10980.2169920436</v>
      </c>
      <c r="U21" s="4">
        <v>10282.04826794748</v>
      </c>
      <c r="V21" s="4">
        <v>9544.157917662931</v>
      </c>
      <c r="W21" s="4">
        <v>8787.335820741719</v>
      </c>
      <c r="X21" s="4">
        <v>8030.04524307471</v>
      </c>
      <c r="Y21" s="4">
        <v>7287.856396922085</v>
      </c>
      <c r="Z21" s="4">
        <v>6573.20452730509</v>
      </c>
      <c r="AA21" s="4">
        <v>5895.416176438099</v>
      </c>
      <c r="AB21" s="4">
        <v>5260.932651699812</v>
      </c>
      <c r="AC21" s="4">
        <v>4673.659076725831</v>
      </c>
      <c r="AD21" s="4">
        <v>4135.376130090212</v>
      </c>
      <c r="AE21" s="4">
        <v>3646.165076193342</v>
      </c>
      <c r="AF21" s="4">
        <v>3204.811309114913</v>
      </c>
      <c r="AG21" s="4">
        <v>2809.164960161259</v>
      </c>
      <c r="AH21" s="4">
        <v>2456.447929811897</v>
      </c>
      <c r="AI21" s="4">
        <v>2143.504641595704</v>
      </c>
      <c r="AJ21" s="4">
        <v>1866.999079286761</v>
      </c>
      <c r="AK21" s="4">
        <v>1623.563735100732</v>
      </c>
      <c r="AL21" s="4">
        <v>1409.907520109613</v>
      </c>
      <c r="AM21" s="4">
        <v>1222.889986739319</v>
      </c>
      <c r="AN21" s="4">
        <v>1059.568813185731</v>
      </c>
      <c r="AO21" s="4">
        <v>917.2267210758873</v>
      </c>
      <c r="AP21" s="4">
        <v>793.3830630024313</v>
      </c>
      <c r="AQ21" s="4">
        <v>685.7943680665921</v>
      </c>
      <c r="AR21" s="4">
        <v>592.4472537995898</v>
      </c>
      <c r="AS21" s="4">
        <v>511.5463425974594</v>
      </c>
      <c r="AT21" s="4">
        <v>441.4991737543605</v>
      </c>
      <c r="AU21" s="4">
        <v>380.8995756710065</v>
      </c>
      <c r="AV21" s="4">
        <v>328.5105454794248</v>
      </c>
      <c r="AW21" s="4">
        <v>283.2473599375808</v>
      </c>
      <c r="AX21" s="4">
        <v>244.1613960827235</v>
      </c>
      <c r="AY21" s="4">
        <v>210.4249577001319</v>
      </c>
      <c r="AZ21" s="4">
        <v>181.3172709175269</v>
      </c>
      <c r="BA21" s="4">
        <v>156.2117179105408</v>
      </c>
      <c r="BB21" s="4">
        <v>134.5643125954084</v>
      </c>
      <c r="BC21" s="4">
        <v>115.9033789109089</v>
      </c>
      <c r="BD21" s="4">
        <v>99.82036507548764</v>
      </c>
      <c r="BE21" s="4">
        <v>85.96171156625496</v>
      </c>
      <c r="BF21" s="4">
        <v>74.0216831372818</v>
      </c>
      <c r="BG21" s="4">
        <v>63.73607339296723</v>
      </c>
      <c r="BH21" s="4">
        <v>54.87669241981348</v>
      </c>
      <c r="BI21" s="4">
        <v>47.24655234633246</v>
      </c>
      <c r="BJ21" s="4">
        <v>40.6756714945659</v>
      </c>
      <c r="BK21" s="4">
        <v>35.01742428401485</v>
      </c>
      <c r="BL21" s="4">
        <v>30.14537080097944</v>
      </c>
      <c r="BM21" s="4">
        <v>25.95050661434652</v>
      </c>
      <c r="BN21" s="4">
        <v>22.33887979330029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>
      <c r="A22" t="s">
        <v>54</v>
      </c>
      <c r="B22" s="4">
        <v>58496.17520415403</v>
      </c>
      <c r="C22" s="4">
        <v>7875.760837240203</v>
      </c>
      <c r="D22" s="4">
        <v>8699.529630966033</v>
      </c>
      <c r="E22" s="4">
        <v>9546.141153065269</v>
      </c>
      <c r="F22" s="4">
        <v>10399.44965556983</v>
      </c>
      <c r="G22" s="4">
        <v>11239.91073871207</v>
      </c>
      <c r="H22" s="4">
        <v>12045.07039810906</v>
      </c>
      <c r="I22" s="4">
        <v>12790.44133850312</v>
      </c>
      <c r="J22" s="4">
        <v>13450.76312674122</v>
      </c>
      <c r="K22" s="4">
        <v>14001.57975786118</v>
      </c>
      <c r="L22" s="4">
        <v>14420.99973141428</v>
      </c>
      <c r="M22" s="4">
        <v>14691.4452438041</v>
      </c>
      <c r="N22" s="4">
        <v>14801.16584584274</v>
      </c>
      <c r="O22" s="4">
        <v>14745.30136317099</v>
      </c>
      <c r="P22" s="4">
        <v>14526.33306900706</v>
      </c>
      <c r="Q22" s="4">
        <v>14153.85251512809</v>
      </c>
      <c r="R22" s="4">
        <v>13643.68435331312</v>
      </c>
      <c r="S22" s="4">
        <v>13016.49786395041</v>
      </c>
      <c r="T22" s="4">
        <v>12296.10947725235</v>
      </c>
      <c r="U22" s="4">
        <v>11507.70276228711</v>
      </c>
      <c r="V22" s="4">
        <v>10676.17326153308</v>
      </c>
      <c r="W22" s="4">
        <v>9824.754108099674</v>
      </c>
      <c r="X22" s="4">
        <v>8974.011261497275</v>
      </c>
      <c r="Y22" s="4">
        <v>8141.230995594698</v>
      </c>
      <c r="Z22" s="4">
        <v>7340.169065488561</v>
      </c>
      <c r="AA22" s="4">
        <v>6581.096627531515</v>
      </c>
      <c r="AB22" s="4">
        <v>5871.062664533849</v>
      </c>
      <c r="AC22" s="4">
        <v>5214.292765744613</v>
      </c>
      <c r="AD22" s="4">
        <v>4612.654402796936</v>
      </c>
      <c r="AE22" s="4">
        <v>4066.134205640818</v>
      </c>
      <c r="AF22" s="4">
        <v>3573.28914735798</v>
      </c>
      <c r="AG22" s="4">
        <v>3131.648382348241</v>
      </c>
      <c r="AH22" s="4">
        <v>2738.054434697609</v>
      </c>
      <c r="AI22" s="4">
        <v>2388.941155449196</v>
      </c>
      <c r="AJ22" s="4">
        <v>2080.551611813367</v>
      </c>
      <c r="AK22" s="4">
        <v>1809.102383645077</v>
      </c>
      <c r="AL22" s="4">
        <v>1570.902246897633</v>
      </c>
      <c r="AM22" s="4">
        <v>1362.433497111604</v>
      </c>
      <c r="AN22" s="4">
        <v>1180.403680121875</v>
      </c>
      <c r="AO22" s="4">
        <v>1021.774604586535</v>
      </c>
      <c r="AP22" s="4">
        <v>883.7744552948279</v>
      </c>
      <c r="AQ22" s="4">
        <v>763.8977626486449</v>
      </c>
      <c r="AR22" s="4">
        <v>659.8970014878432</v>
      </c>
      <c r="AS22" s="4">
        <v>569.7687350633787</v>
      </c>
      <c r="AT22" s="4">
        <v>491.7365013149683</v>
      </c>
      <c r="AU22" s="4">
        <v>424.2320549073047</v>
      </c>
      <c r="AV22" s="4">
        <v>365.8761164786993</v>
      </c>
      <c r="AW22" s="4">
        <v>315.459423079621</v>
      </c>
      <c r="AX22" s="4">
        <v>271.9246028630878</v>
      </c>
      <c r="AY22" s="4">
        <v>234.3491959500825</v>
      </c>
      <c r="AZ22" s="4">
        <v>201.9299972275039</v>
      </c>
      <c r="BA22" s="4">
        <v>173.9687931450317</v>
      </c>
      <c r="BB22" s="4">
        <v>149.8594931591651</v>
      </c>
      <c r="BC22" s="4">
        <v>129.076609133801</v>
      </c>
      <c r="BD22" s="4">
        <v>111.1650063613197</v>
      </c>
      <c r="BE22" s="4">
        <v>95.73083297989797</v>
      </c>
      <c r="BF22" s="4">
        <v>82.43352666997816</v>
      </c>
      <c r="BG22" s="4">
        <v>70.97879582759924</v>
      </c>
      <c r="BH22" s="4">
        <v>61.11247483832994</v>
      </c>
      <c r="BI22" s="4">
        <v>52.61515813326696</v>
      </c>
      <c r="BJ22" s="4">
        <v>45.29752427130006</v>
      </c>
      <c r="BK22" s="4">
        <v>38.99626864568563</v>
      </c>
      <c r="BL22" s="4">
        <v>33.57057099393569</v>
      </c>
      <c r="BM22" s="4">
        <v>28.8990313775721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spans="1:85">
      <c r="A23" t="s">
        <v>55</v>
      </c>
      <c r="B23" s="4">
        <v>43243.25460065671</v>
      </c>
      <c r="C23" s="4">
        <v>5955.935964756674</v>
      </c>
      <c r="D23" s="4">
        <v>6616.767221117625</v>
      </c>
      <c r="E23" s="4">
        <v>7306.847013413659</v>
      </c>
      <c r="F23" s="4">
        <v>8015.507364684716</v>
      </c>
      <c r="G23" s="4">
        <v>8729.11582212559</v>
      </c>
      <c r="H23" s="4">
        <v>9431.208702811738</v>
      </c>
      <c r="I23" s="4">
        <v>10102.91368287212</v>
      </c>
      <c r="J23" s="4">
        <v>10723.69711303838</v>
      </c>
      <c r="K23" s="4">
        <v>11272.43113257183</v>
      </c>
      <c r="L23" s="4">
        <v>11728.72254734632</v>
      </c>
      <c r="M23" s="4">
        <v>12074.38823290277</v>
      </c>
      <c r="N23" s="4">
        <v>12294.91359553795</v>
      </c>
      <c r="O23" s="4">
        <v>12380.70576858913</v>
      </c>
      <c r="P23" s="4">
        <v>12327.96275162659</v>
      </c>
      <c r="Q23" s="4">
        <v>12139.0265697538</v>
      </c>
      <c r="R23" s="4">
        <v>11822.16515268155</v>
      </c>
      <c r="S23" s="4">
        <v>11390.81720049749</v>
      </c>
      <c r="T23" s="4">
        <v>10862.41581806017</v>
      </c>
      <c r="U23" s="4">
        <v>10256.96178277422</v>
      </c>
      <c r="V23" s="4">
        <v>9595.535891466017</v>
      </c>
      <c r="W23" s="4">
        <v>8898.922440209455</v>
      </c>
      <c r="X23" s="4">
        <v>8186.471990256687</v>
      </c>
      <c r="Y23" s="4">
        <v>7475.275210774504</v>
      </c>
      <c r="Z23" s="4">
        <v>6779.664514679986</v>
      </c>
      <c r="AA23" s="4">
        <v>6111.01632294734</v>
      </c>
      <c r="AB23" s="4">
        <v>5477.798778211407</v>
      </c>
      <c r="AC23" s="4">
        <v>4885.797552138218</v>
      </c>
      <c r="AD23" s="4">
        <v>4338.452937776048</v>
      </c>
      <c r="AE23" s="4">
        <v>3837.250294926635</v>
      </c>
      <c r="AF23" s="4">
        <v>3382.11886585661</v>
      </c>
      <c r="AG23" s="4">
        <v>2971.807679649559</v>
      </c>
      <c r="AH23" s="4">
        <v>2604.219583206403</v>
      </c>
      <c r="AI23" s="4">
        <v>2276.694317875546</v>
      </c>
      <c r="AJ23" s="4">
        <v>1986.238740561355</v>
      </c>
      <c r="AK23" s="4">
        <v>1729.70699387166</v>
      </c>
      <c r="AL23" s="4">
        <v>1503.936123736145</v>
      </c>
      <c r="AM23" s="4">
        <v>1305.843846941483</v>
      </c>
      <c r="AN23" s="4">
        <v>1132.495364592527</v>
      </c>
      <c r="AO23" s="4">
        <v>981.1456908913678</v>
      </c>
      <c r="AP23" s="4">
        <v>849.2632105156081</v>
      </c>
      <c r="AQ23" s="4">
        <v>734.5392923925538</v>
      </c>
      <c r="AR23" s="4">
        <v>634.8878998327418</v>
      </c>
      <c r="AS23" s="4">
        <v>548.4383194473921</v>
      </c>
      <c r="AT23" s="4">
        <v>473.5234190991614</v>
      </c>
      <c r="AU23" s="4">
        <v>408.6652491095592</v>
      </c>
      <c r="AV23" s="4">
        <v>352.5593174122041</v>
      </c>
      <c r="AW23" s="4">
        <v>304.0584870406892</v>
      </c>
      <c r="AX23" s="4">
        <v>262.1571487901965</v>
      </c>
      <c r="AY23" s="4">
        <v>225.9760981204454</v>
      </c>
      <c r="AZ23" s="4">
        <v>194.7483793722931</v>
      </c>
      <c r="BA23" s="4">
        <v>167.8062398603652</v>
      </c>
      <c r="BB23" s="4">
        <v>144.5692510228255</v>
      </c>
      <c r="BC23" s="4">
        <v>124.5335950664012</v>
      </c>
      <c r="BD23" s="4">
        <v>107.2624767083907</v>
      </c>
      <c r="BE23" s="4">
        <v>92.37759535643272</v>
      </c>
      <c r="BF23" s="4">
        <v>79.55159932590323</v>
      </c>
      <c r="BG23" s="4">
        <v>68.50143736728933</v>
      </c>
      <c r="BH23" s="4">
        <v>58.98252154461807</v>
      </c>
      <c r="BI23" s="4">
        <v>50.78361765714362</v>
      </c>
      <c r="BJ23" s="4">
        <v>43.72238369297702</v>
      </c>
      <c r="BK23" s="4">
        <v>37.64148233900778</v>
      </c>
      <c r="BL23" s="4">
        <v>32.40519973466871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>
      <c r="A24" t="s">
        <v>56</v>
      </c>
      <c r="B24" s="4">
        <v>25542.18860059062</v>
      </c>
      <c r="C24" s="4">
        <v>3495.632613279158</v>
      </c>
      <c r="D24" s="4">
        <v>3877.194314497207</v>
      </c>
      <c r="E24" s="4">
        <v>4273.883606290459</v>
      </c>
      <c r="F24" s="4">
        <v>4679.152565020995</v>
      </c>
      <c r="G24" s="4">
        <v>5084.771242179078</v>
      </c>
      <c r="H24" s="4">
        <v>5480.9466751199</v>
      </c>
      <c r="I24" s="4">
        <v>5856.61412303336</v>
      </c>
      <c r="J24" s="4">
        <v>6199.915156962881</v>
      </c>
      <c r="K24" s="4">
        <v>6498.851910213969</v>
      </c>
      <c r="L24" s="4">
        <v>6742.07526908096</v>
      </c>
      <c r="M24" s="4">
        <v>6919.732807619555</v>
      </c>
      <c r="N24" s="4">
        <v>7024.277729134221</v>
      </c>
      <c r="O24" s="4">
        <v>7051.130922327531</v>
      </c>
      <c r="P24" s="4">
        <v>6999.099697885948</v>
      </c>
      <c r="Q24" s="4">
        <v>6870.488903433376</v>
      </c>
      <c r="R24" s="4">
        <v>6670.886953696536</v>
      </c>
      <c r="S24" s="4">
        <v>6408.660257161362</v>
      </c>
      <c r="T24" s="4">
        <v>6094.232634133048</v>
      </c>
      <c r="U24" s="4">
        <v>5739.252199213981</v>
      </c>
      <c r="V24" s="4">
        <v>5355.752747126098</v>
      </c>
      <c r="W24" s="4">
        <v>4955.401841496525</v>
      </c>
      <c r="X24" s="4">
        <v>4548.89996886623</v>
      </c>
      <c r="Y24" s="4">
        <v>4145.562501030276</v>
      </c>
      <c r="Z24" s="4">
        <v>3753.086180175422</v>
      </c>
      <c r="AA24" s="4">
        <v>3377.479236963525</v>
      </c>
      <c r="AB24" s="4">
        <v>3023.120916807937</v>
      </c>
      <c r="AC24" s="4">
        <v>2692.911510289501</v>
      </c>
      <c r="AD24" s="4">
        <v>2388.475883561157</v>
      </c>
      <c r="AE24" s="4">
        <v>2110.389436426078</v>
      </c>
      <c r="AF24" s="4">
        <v>1858.403072931396</v>
      </c>
      <c r="AG24" s="4">
        <v>1631.651446439646</v>
      </c>
      <c r="AH24" s="4">
        <v>1428.83540719506</v>
      </c>
      <c r="AI24" s="4">
        <v>1248.374777734396</v>
      </c>
      <c r="AJ24" s="4">
        <v>1088.531255440554</v>
      </c>
      <c r="AK24" s="4">
        <v>947.503571626934</v>
      </c>
      <c r="AL24" s="4">
        <v>823.4983037393249</v>
      </c>
      <c r="AM24" s="4">
        <v>714.7802363694354</v>
      </c>
      <c r="AN24" s="4">
        <v>619.7061582312454</v>
      </c>
      <c r="AO24" s="4">
        <v>536.7456724449585</v>
      </c>
      <c r="AP24" s="4">
        <v>464.4921367037168</v>
      </c>
      <c r="AQ24" s="4">
        <v>401.6663394244388</v>
      </c>
      <c r="AR24" s="4">
        <v>347.1150204176083</v>
      </c>
      <c r="AS24" s="4">
        <v>299.8058944760996</v>
      </c>
      <c r="AT24" s="4">
        <v>258.8204489840427</v>
      </c>
      <c r="AU24" s="4">
        <v>223.3454655589594</v>
      </c>
      <c r="AV24" s="4">
        <v>192.6639572344429</v>
      </c>
      <c r="AW24" s="4">
        <v>166.1460096357332</v>
      </c>
      <c r="AX24" s="4">
        <v>143.2398585568299</v>
      </c>
      <c r="AY24" s="4">
        <v>123.4634188656346</v>
      </c>
      <c r="AZ24" s="4">
        <v>106.3963930330938</v>
      </c>
      <c r="BA24" s="4">
        <v>91.67302508611465</v>
      </c>
      <c r="BB24" s="4">
        <v>78.97552184262895</v>
      </c>
      <c r="BC24" s="4">
        <v>68.0281333529274</v>
      </c>
      <c r="BD24" s="4">
        <v>58.5918649447558</v>
      </c>
      <c r="BE24" s="4">
        <v>50.45978133697645</v>
      </c>
      <c r="BF24" s="4">
        <v>43.45285679775407</v>
      </c>
      <c r="BG24" s="4">
        <v>37.41632264904911</v>
      </c>
      <c r="BH24" s="4">
        <v>32.21646334105753</v>
      </c>
      <c r="BI24" s="4">
        <v>27.73781395034166</v>
      </c>
      <c r="BJ24" s="4">
        <v>23.88071464395034</v>
      </c>
      <c r="BK24" s="4">
        <v>20.55918093427317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>
      <c r="A25" t="s">
        <v>57</v>
      </c>
      <c r="B25" s="4">
        <v>58512.48883419391</v>
      </c>
      <c r="C25" s="4">
        <v>8003.433090956052</v>
      </c>
      <c r="D25" s="4">
        <v>8875.793745084899</v>
      </c>
      <c r="E25" s="4">
        <v>9782.390597804071</v>
      </c>
      <c r="F25" s="4">
        <v>10708.1777500633</v>
      </c>
      <c r="G25" s="4">
        <v>11634.27036768048</v>
      </c>
      <c r="H25" s="4">
        <v>12538.22512756796</v>
      </c>
      <c r="I25" s="4">
        <v>13394.71529995948</v>
      </c>
      <c r="J25" s="4">
        <v>14176.63272414028</v>
      </c>
      <c r="K25" s="4">
        <v>14856.59066598752</v>
      </c>
      <c r="L25" s="4">
        <v>15408.72934436682</v>
      </c>
      <c r="M25" s="4">
        <v>15810.65307094654</v>
      </c>
      <c r="N25" s="4">
        <v>16045.27254003688</v>
      </c>
      <c r="O25" s="4">
        <v>16102.30591848245</v>
      </c>
      <c r="P25" s="4">
        <v>15979.21973048372</v>
      </c>
      <c r="Q25" s="4">
        <v>15681.46492540283</v>
      </c>
      <c r="R25" s="4">
        <v>15221.97101953599</v>
      </c>
      <c r="S25" s="4">
        <v>14619.97743211925</v>
      </c>
      <c r="T25" s="4">
        <v>13899.378869601</v>
      </c>
      <c r="U25" s="4">
        <v>13086.81960434781</v>
      </c>
      <c r="V25" s="4">
        <v>12209.78076404822</v>
      </c>
      <c r="W25" s="4">
        <v>11294.86995178519</v>
      </c>
      <c r="X25" s="4">
        <v>10366.45846156054</v>
      </c>
      <c r="Y25" s="4">
        <v>9445.736822767358</v>
      </c>
      <c r="Z25" s="4">
        <v>8550.191131958156</v>
      </c>
      <c r="AA25" s="4">
        <v>7693.451488947496</v>
      </c>
      <c r="AB25" s="4">
        <v>6885.433906044578</v>
      </c>
      <c r="AC25" s="4">
        <v>6132.686794363777</v>
      </c>
      <c r="AD25" s="4">
        <v>5438.857757484133</v>
      </c>
      <c r="AE25" s="4">
        <v>4805.210120289586</v>
      </c>
      <c r="AF25" s="4">
        <v>4231.136148058285</v>
      </c>
      <c r="AG25" s="4">
        <v>3714.631410016096</v>
      </c>
      <c r="AH25" s="4">
        <v>3252.709892989951</v>
      </c>
      <c r="AI25" s="4">
        <v>2841.751255927549</v>
      </c>
      <c r="AJ25" s="4">
        <v>2477.77992713236</v>
      </c>
      <c r="AK25" s="4">
        <v>2156.681001665536</v>
      </c>
      <c r="AL25" s="4">
        <v>1874.360740871518</v>
      </c>
      <c r="AM25" s="4">
        <v>1626.860581724788</v>
      </c>
      <c r="AN25" s="4">
        <v>1410.433522831299</v>
      </c>
      <c r="AO25" s="4">
        <v>1221.591034672805</v>
      </c>
      <c r="AP25" s="4">
        <v>1057.12758441054</v>
      </c>
      <c r="AQ25" s="4">
        <v>914.1286990992958</v>
      </c>
      <c r="AR25" s="4">
        <v>789.9673567238497</v>
      </c>
      <c r="AS25" s="4">
        <v>682.2924696166883</v>
      </c>
      <c r="AT25" s="4">
        <v>589.0123439161107</v>
      </c>
      <c r="AU25" s="4">
        <v>508.2752689882182</v>
      </c>
      <c r="AV25" s="4">
        <v>438.4488035943941</v>
      </c>
      <c r="AW25" s="4">
        <v>378.0988646484329</v>
      </c>
      <c r="AX25" s="4">
        <v>325.9693703603116</v>
      </c>
      <c r="AY25" s="4">
        <v>280.9629231387516</v>
      </c>
      <c r="AZ25" s="4">
        <v>242.1228212584392</v>
      </c>
      <c r="BA25" s="4">
        <v>208.6165467305109</v>
      </c>
      <c r="BB25" s="4">
        <v>179.7207773249247</v>
      </c>
      <c r="BC25" s="4">
        <v>154.807902998582</v>
      </c>
      <c r="BD25" s="4">
        <v>133.3339828525786</v>
      </c>
      <c r="BE25" s="4">
        <v>114.8280518609681</v>
      </c>
      <c r="BF25" s="4">
        <v>98.88267202029238</v>
      </c>
      <c r="BG25" s="4">
        <v>85.14561664470239</v>
      </c>
      <c r="BH25" s="4">
        <v>73.31257646443555</v>
      </c>
      <c r="BI25" s="4">
        <v>63.12077997950837</v>
      </c>
      <c r="BJ25" s="4">
        <v>54.34342670399928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spans="1:85">
      <c r="A26" t="s">
        <v>58</v>
      </c>
      <c r="B26" s="4">
        <v>58426.26096443854</v>
      </c>
      <c r="C26" s="4">
        <v>8008.957267473786</v>
      </c>
      <c r="D26" s="4">
        <v>8886.805844782502</v>
      </c>
      <c r="E26" s="4">
        <v>9800.48504793027</v>
      </c>
      <c r="F26" s="4">
        <v>10735.15329018778</v>
      </c>
      <c r="G26" s="4">
        <v>11672.08033740685</v>
      </c>
      <c r="H26" s="4">
        <v>12588.89657895628</v>
      </c>
      <c r="I26" s="4">
        <v>13460.23581769815</v>
      </c>
      <c r="J26" s="4">
        <v>14258.80869245599</v>
      </c>
      <c r="K26" s="4">
        <v>14956.88671753719</v>
      </c>
      <c r="L26" s="4">
        <v>15528.10479687646</v>
      </c>
      <c r="M26" s="4">
        <v>15949.41577686524</v>
      </c>
      <c r="N26" s="4">
        <v>16202.97212363628</v>
      </c>
      <c r="O26" s="4">
        <v>16277.68569210972</v>
      </c>
      <c r="P26" s="4">
        <v>16170.23950844578</v>
      </c>
      <c r="Q26" s="4">
        <v>15885.39661185769</v>
      </c>
      <c r="R26" s="4">
        <v>15435.55745199812</v>
      </c>
      <c r="S26" s="4">
        <v>14839.63518185075</v>
      </c>
      <c r="T26" s="4">
        <v>14121.41978920181</v>
      </c>
      <c r="U26" s="4">
        <v>13307.66499712737</v>
      </c>
      <c r="V26" s="4">
        <v>12426.14585241838</v>
      </c>
      <c r="W26" s="4">
        <v>11503.90340857103</v>
      </c>
      <c r="X26" s="4">
        <v>10565.83014593506</v>
      </c>
      <c r="Y26" s="4">
        <v>9633.67464442749</v>
      </c>
      <c r="Z26" s="4">
        <v>8725.473847768677</v>
      </c>
      <c r="AA26" s="4">
        <v>7855.367666222097</v>
      </c>
      <c r="AB26" s="4">
        <v>7033.718379215512</v>
      </c>
      <c r="AC26" s="4">
        <v>6267.445230949612</v>
      </c>
      <c r="AD26" s="4">
        <v>5560.488125004922</v>
      </c>
      <c r="AE26" s="4">
        <v>4914.327551467461</v>
      </c>
      <c r="AF26" s="4">
        <v>4328.50542282348</v>
      </c>
      <c r="AG26" s="4">
        <v>3801.10930749611</v>
      </c>
      <c r="AH26" s="4">
        <v>3329.198148041905</v>
      </c>
      <c r="AI26" s="4">
        <v>2909.159797727421</v>
      </c>
      <c r="AJ26" s="4">
        <v>2536.999426584342</v>
      </c>
      <c r="AK26" s="4">
        <v>2208.563423822052</v>
      </c>
      <c r="AL26" s="4">
        <v>1919.706497596926</v>
      </c>
      <c r="AM26" s="4">
        <v>1666.410928394762</v>
      </c>
      <c r="AN26" s="4">
        <v>1444.866977502475</v>
      </c>
      <c r="AO26" s="4">
        <v>1251.522772828583</v>
      </c>
      <c r="AP26" s="4">
        <v>1083.110946336528</v>
      </c>
      <c r="AQ26" s="4">
        <v>936.658121455228</v>
      </c>
      <c r="AR26" s="4">
        <v>809.4821950040641</v>
      </c>
      <c r="AS26" s="4">
        <v>699.1813098965213</v>
      </c>
      <c r="AT26" s="4">
        <v>603.6175102437846</v>
      </c>
      <c r="AU26" s="4">
        <v>520.897318756266</v>
      </c>
      <c r="AV26" s="4">
        <v>449.3508700064267</v>
      </c>
      <c r="AW26" s="4">
        <v>387.5107560736942</v>
      </c>
      <c r="AX26" s="4">
        <v>334.0913739466341</v>
      </c>
      <c r="AY26" s="4">
        <v>287.9692872586893</v>
      </c>
      <c r="AZ26" s="4">
        <v>248.1649105108227</v>
      </c>
      <c r="BA26" s="4">
        <v>213.8256762275123</v>
      </c>
      <c r="BB26" s="4">
        <v>184.2107414416969</v>
      </c>
      <c r="BC26" s="4">
        <v>158.6772188285831</v>
      </c>
      <c r="BD26" s="4">
        <v>136.6678712929133</v>
      </c>
      <c r="BE26" s="4">
        <v>117.700180217158</v>
      </c>
      <c r="BF26" s="4">
        <v>101.3566818595864</v>
      </c>
      <c r="BG26" s="4">
        <v>87.2764596978086</v>
      </c>
      <c r="BH26" s="4">
        <v>75.14767999498872</v>
      </c>
      <c r="BI26" s="4">
        <v>64.70106140262214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spans="1:85">
      <c r="A27" t="s">
        <v>59</v>
      </c>
      <c r="B27" s="4">
        <v>35969.30201885722</v>
      </c>
      <c r="C27" s="4">
        <v>4953.692430697549</v>
      </c>
      <c r="D27" s="4">
        <v>5503.209273589287</v>
      </c>
      <c r="E27" s="4">
        <v>6077.016134401289</v>
      </c>
      <c r="F27" s="4">
        <v>6666.234876813818</v>
      </c>
      <c r="G27" s="4">
        <v>7259.52271245476</v>
      </c>
      <c r="H27" s="4">
        <v>7843.183759978114</v>
      </c>
      <c r="I27" s="4">
        <v>8401.521313865262</v>
      </c>
      <c r="J27" s="4">
        <v>8917.460144394499</v>
      </c>
      <c r="K27" s="4">
        <v>9373.434590039687</v>
      </c>
      <c r="L27" s="4">
        <v>9752.49402327952</v>
      </c>
      <c r="M27" s="4">
        <v>10039.52971609475</v>
      </c>
      <c r="N27" s="4">
        <v>10222.48708318034</v>
      </c>
      <c r="O27" s="4">
        <v>10293.40670427409</v>
      </c>
      <c r="P27" s="4">
        <v>10249.14556203602</v>
      </c>
      <c r="Q27" s="4">
        <v>10091.66900409907</v>
      </c>
      <c r="R27" s="4">
        <v>9827.867708924838</v>
      </c>
      <c r="S27" s="4">
        <v>9468.928409164073</v>
      </c>
      <c r="T27" s="4">
        <v>9029.354843862733</v>
      </c>
      <c r="U27" s="4">
        <v>8525.781108438125</v>
      </c>
      <c r="V27" s="4">
        <v>7975.734906951402</v>
      </c>
      <c r="W27" s="4">
        <v>7396.49365544974</v>
      </c>
      <c r="X27" s="4">
        <v>6804.139827244333</v>
      </c>
      <c r="Y27" s="4">
        <v>6212.875055807846</v>
      </c>
      <c r="Z27" s="4">
        <v>5634.606742952426</v>
      </c>
      <c r="AA27" s="4">
        <v>5078.784479982714</v>
      </c>
      <c r="AB27" s="4">
        <v>4552.440347125899</v>
      </c>
      <c r="AC27" s="4">
        <v>4060.377076489269</v>
      </c>
      <c r="AD27" s="4">
        <v>3605.448549768567</v>
      </c>
      <c r="AE27" s="4">
        <v>3188.8845002054</v>
      </c>
      <c r="AF27" s="4">
        <v>2810.622060924303</v>
      </c>
      <c r="AG27" s="4">
        <v>2469.618191286165</v>
      </c>
      <c r="AH27" s="4">
        <v>2164.127249407262</v>
      </c>
      <c r="AI27" s="4">
        <v>1891.936186116247</v>
      </c>
      <c r="AJ27" s="4">
        <v>1650.555797149951</v>
      </c>
      <c r="AK27" s="4">
        <v>1437.370376012463</v>
      </c>
      <c r="AL27" s="4">
        <v>1249.750344429107</v>
      </c>
      <c r="AM27" s="4">
        <v>1085.133434683143</v>
      </c>
      <c r="AN27" s="4">
        <v>941.0801566768787</v>
      </c>
      <c r="AO27" s="4">
        <v>815.3089265197632</v>
      </c>
      <c r="AP27" s="4">
        <v>705.7156041654525</v>
      </c>
      <c r="AQ27" s="4">
        <v>610.381451270543</v>
      </c>
      <c r="AR27" s="4">
        <v>527.5727824154892</v>
      </c>
      <c r="AS27" s="4">
        <v>455.7349034046638</v>
      </c>
      <c r="AT27" s="4">
        <v>393.4823385957861</v>
      </c>
      <c r="AU27" s="4">
        <v>339.5868540106458</v>
      </c>
      <c r="AV27" s="4">
        <v>292.964381293219</v>
      </c>
      <c r="AW27" s="4">
        <v>252.6616300069145</v>
      </c>
      <c r="AX27" s="4">
        <v>217.8429302863078</v>
      </c>
      <c r="AY27" s="4">
        <v>187.7776619949727</v>
      </c>
      <c r="AZ27" s="4">
        <v>161.8284886942129</v>
      </c>
      <c r="BA27" s="4">
        <v>139.4405146452482</v>
      </c>
      <c r="BB27" s="4">
        <v>120.131412178278</v>
      </c>
      <c r="BC27" s="4">
        <v>103.4825179869076</v>
      </c>
      <c r="BD27" s="4">
        <v>89.13086466962704</v>
      </c>
      <c r="BE27" s="4">
        <v>76.76209370611468</v>
      </c>
      <c r="BF27" s="4">
        <v>66.10418465785915</v>
      </c>
      <c r="BG27" s="4">
        <v>56.92193014017539</v>
      </c>
      <c r="BH27" s="4">
        <v>49.01208509987919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spans="1:85">
      <c r="A28" t="s">
        <v>60</v>
      </c>
      <c r="B28" s="4">
        <v>99139.95702116622</v>
      </c>
      <c r="C28" s="4">
        <v>12698.52907025852</v>
      </c>
      <c r="D28" s="4">
        <v>13857.39388756608</v>
      </c>
      <c r="E28" s="4">
        <v>15005.26777428755</v>
      </c>
      <c r="F28" s="4">
        <v>16112.47775176086</v>
      </c>
      <c r="G28" s="4">
        <v>17146.26991859899</v>
      </c>
      <c r="H28" s="4">
        <v>18072.40601708819</v>
      </c>
      <c r="I28" s="4">
        <v>18857.21991358278</v>
      </c>
      <c r="J28" s="4">
        <v>19469.97172988285</v>
      </c>
      <c r="K28" s="4">
        <v>19885.25274281448</v>
      </c>
      <c r="L28" s="4">
        <v>20085.14132592053</v>
      </c>
      <c r="M28" s="4">
        <v>20060.80933535716</v>
      </c>
      <c r="N28" s="4">
        <v>19813.33841165702</v>
      </c>
      <c r="O28" s="4">
        <v>19353.61909504444</v>
      </c>
      <c r="P28" s="4">
        <v>18701.3486320927</v>
      </c>
      <c r="Q28" s="4">
        <v>17883.28259259084</v>
      </c>
      <c r="R28" s="4">
        <v>16930.99884262908</v>
      </c>
      <c r="S28" s="4">
        <v>15878.47936592234</v>
      </c>
      <c r="T28" s="4">
        <v>14759.80207725742</v>
      </c>
      <c r="U28" s="4">
        <v>13607.17312028451</v>
      </c>
      <c r="V28" s="4">
        <v>12449.44178093638</v>
      </c>
      <c r="W28" s="4">
        <v>11311.14823460131</v>
      </c>
      <c r="X28" s="4">
        <v>10212.07703766983</v>
      </c>
      <c r="Y28" s="4">
        <v>9167.236497788806</v>
      </c>
      <c r="Z28" s="4">
        <v>8187.157630829024</v>
      </c>
      <c r="AA28" s="4">
        <v>7278.402343282476</v>
      </c>
      <c r="AB28" s="4">
        <v>6444.181933802203</v>
      </c>
      <c r="AC28" s="4">
        <v>5685.006842806994</v>
      </c>
      <c r="AD28" s="4">
        <v>4999.310915562499</v>
      </c>
      <c r="AE28" s="4">
        <v>4384.014293176704</v>
      </c>
      <c r="AF28" s="4">
        <v>3835.006253800297</v>
      </c>
      <c r="AG28" s="4">
        <v>3347.542166072701</v>
      </c>
      <c r="AH28" s="4">
        <v>2916.557386294124</v>
      </c>
      <c r="AI28" s="4">
        <v>2536.90611024166</v>
      </c>
      <c r="AJ28" s="4">
        <v>2203.535722094995</v>
      </c>
      <c r="AK28" s="4">
        <v>1911.607874433568</v>
      </c>
      <c r="AL28" s="4">
        <v>1656.577061395219</v>
      </c>
      <c r="AM28" s="4">
        <v>1434.236327253515</v>
      </c>
      <c r="AN28" s="4">
        <v>1240.738347388688</v>
      </c>
      <c r="AO28" s="4">
        <v>1072.598663334618</v>
      </c>
      <c r="AP28" s="4">
        <v>926.6864874263993</v>
      </c>
      <c r="AQ28" s="4">
        <v>800.2072866533417</v>
      </c>
      <c r="AR28" s="4">
        <v>690.6803361277562</v>
      </c>
      <c r="AS28" s="4">
        <v>595.9135992329102</v>
      </c>
      <c r="AT28" s="4">
        <v>513.9776282784296</v>
      </c>
      <c r="AU28" s="4">
        <v>443.1796637171647</v>
      </c>
      <c r="AV28" s="4">
        <v>382.0387172809569</v>
      </c>
      <c r="AW28" s="4">
        <v>329.2621314484859</v>
      </c>
      <c r="AX28" s="4">
        <v>283.7238936895737</v>
      </c>
      <c r="AY28" s="4">
        <v>244.444831263856</v>
      </c>
      <c r="AZ28" s="4">
        <v>210.5747063993476</v>
      </c>
      <c r="BA28" s="4">
        <v>181.3761607633205</v>
      </c>
      <c r="BB28" s="4">
        <v>156.2104130352382</v>
      </c>
      <c r="BC28" s="4">
        <v>134.5245869954815</v>
      </c>
      <c r="BD28" s="4">
        <v>115.84053440555</v>
      </c>
      <c r="BE28" s="4">
        <v>99.74501301813871</v>
      </c>
      <c r="BF28" s="4">
        <v>85.88108228472993</v>
      </c>
      <c r="BG28" s="4">
        <v>73.94058551301714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spans="1:85">
      <c r="A29" t="s">
        <v>61</v>
      </c>
      <c r="B29" s="4">
        <v>106008.9155407218</v>
      </c>
      <c r="C29" s="4">
        <v>14262.79668810105</v>
      </c>
      <c r="D29" s="4">
        <v>15751.8788817048</v>
      </c>
      <c r="E29" s="4">
        <v>17281.4928080375</v>
      </c>
      <c r="F29" s="4">
        <v>18822.30600252407</v>
      </c>
      <c r="G29" s="4">
        <v>20338.86406858705</v>
      </c>
      <c r="H29" s="4">
        <v>21790.49238300434</v>
      </c>
      <c r="I29" s="4">
        <v>23132.89828257024</v>
      </c>
      <c r="J29" s="4">
        <v>24320.4647224732</v>
      </c>
      <c r="K29" s="4">
        <v>25309.11205903863</v>
      </c>
      <c r="L29" s="4">
        <v>26059.48103959579</v>
      </c>
      <c r="M29" s="4">
        <v>26540.0854012692</v>
      </c>
      <c r="N29" s="4">
        <v>26730.02779553965</v>
      </c>
      <c r="O29" s="4">
        <v>26620.89204845973</v>
      </c>
      <c r="P29" s="4">
        <v>26217.52474833338</v>
      </c>
      <c r="Q29" s="4">
        <v>25537.5838073382</v>
      </c>
      <c r="R29" s="4">
        <v>24609.92492974718</v>
      </c>
      <c r="S29" s="4">
        <v>23472.07353422325</v>
      </c>
      <c r="T29" s="4">
        <v>22167.14973792387</v>
      </c>
      <c r="U29" s="4">
        <v>20740.65542839735</v>
      </c>
      <c r="V29" s="4">
        <v>19237.49601213227</v>
      </c>
      <c r="W29" s="4">
        <v>17699.51532727422</v>
      </c>
      <c r="X29" s="4">
        <v>16163.70069937094</v>
      </c>
      <c r="Y29" s="4">
        <v>14661.09597084532</v>
      </c>
      <c r="Z29" s="4">
        <v>13216.36510139389</v>
      </c>
      <c r="AA29" s="4">
        <v>11847.88788574736</v>
      </c>
      <c r="AB29" s="4">
        <v>10568.24254369223</v>
      </c>
      <c r="AC29" s="4">
        <v>9384.930753403343</v>
      </c>
      <c r="AD29" s="4">
        <v>8301.219654964749</v>
      </c>
      <c r="AE29" s="4">
        <v>7317.003232273972</v>
      </c>
      <c r="AF29" s="4">
        <v>6429.615079644602</v>
      </c>
      <c r="AG29" s="4">
        <v>5634.551228931639</v>
      </c>
      <c r="AH29" s="4">
        <v>4926.083138134796</v>
      </c>
      <c r="AI29" s="4">
        <v>4297.756534827524</v>
      </c>
      <c r="AJ29" s="4">
        <v>3742.78204534878</v>
      </c>
      <c r="AK29" s="4">
        <v>3254.329416964552</v>
      </c>
      <c r="AL29" s="4">
        <v>2825.739782278775</v>
      </c>
      <c r="AM29" s="4">
        <v>2450.67086051323</v>
      </c>
      <c r="AN29" s="4">
        <v>2123.189084985643</v>
      </c>
      <c r="AO29" s="4">
        <v>1837.821021064767</v>
      </c>
      <c r="AP29" s="4">
        <v>1589.574528996367</v>
      </c>
      <c r="AQ29" s="4">
        <v>1373.938207701896</v>
      </c>
      <c r="AR29" s="4">
        <v>1186.865887385327</v>
      </c>
      <c r="AS29" s="4">
        <v>1024.751397247426</v>
      </c>
      <c r="AT29" s="4">
        <v>884.3975437816698</v>
      </c>
      <c r="AU29" s="4">
        <v>762.9821874593617</v>
      </c>
      <c r="AV29" s="4">
        <v>658.0234769730596</v>
      </c>
      <c r="AW29" s="4">
        <v>567.3456593768205</v>
      </c>
      <c r="AX29" s="4">
        <v>489.0463991237339</v>
      </c>
      <c r="AY29" s="4">
        <v>421.4661788329249</v>
      </c>
      <c r="AZ29" s="4">
        <v>363.1600930793211</v>
      </c>
      <c r="BA29" s="4">
        <v>312.8721610795474</v>
      </c>
      <c r="BB29" s="4">
        <v>269.5121565599693</v>
      </c>
      <c r="BC29" s="4">
        <v>232.1348686299752</v>
      </c>
      <c r="BD29" s="4">
        <v>199.9216546948301</v>
      </c>
      <c r="BE29" s="4">
        <v>172.1641164725879</v>
      </c>
      <c r="BF29" s="4">
        <v>148.2497162969084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spans="1:85">
      <c r="A30" t="s">
        <v>62</v>
      </c>
      <c r="B30" s="4">
        <v>50160.97333889252</v>
      </c>
      <c r="C30" s="4">
        <v>6410.395918518188</v>
      </c>
      <c r="D30" s="4">
        <v>6991.642121398472</v>
      </c>
      <c r="E30" s="4">
        <v>7566.365791617849</v>
      </c>
      <c r="F30" s="4">
        <v>8119.552661493872</v>
      </c>
      <c r="G30" s="4">
        <v>8634.692450913775</v>
      </c>
      <c r="H30" s="4">
        <v>9094.597946488459</v>
      </c>
      <c r="I30" s="4">
        <v>9482.450431447462</v>
      </c>
      <c r="J30" s="4">
        <v>9782.986745828544</v>
      </c>
      <c r="K30" s="4">
        <v>9983.701571754733</v>
      </c>
      <c r="L30" s="4">
        <v>10075.91362610785</v>
      </c>
      <c r="M30" s="4">
        <v>10055.54615271461</v>
      </c>
      <c r="N30" s="4">
        <v>9923.504399446509</v>
      </c>
      <c r="O30" s="4">
        <v>9685.591205057513</v>
      </c>
      <c r="P30" s="4">
        <v>9351.9739774052</v>
      </c>
      <c r="Q30" s="4">
        <v>8936.285374893516</v>
      </c>
      <c r="R30" s="4">
        <v>8454.490080820222</v>
      </c>
      <c r="S30" s="4">
        <v>7923.671377925493</v>
      </c>
      <c r="T30" s="4">
        <v>7360.882504116511</v>
      </c>
      <c r="U30" s="4">
        <v>6782.17548762323</v>
      </c>
      <c r="V30" s="4">
        <v>6201.875341941457</v>
      </c>
      <c r="W30" s="4">
        <v>5632.121673658839</v>
      </c>
      <c r="X30" s="4">
        <v>5082.661760045768</v>
      </c>
      <c r="Y30" s="4">
        <v>4560.853652689926</v>
      </c>
      <c r="Z30" s="4">
        <v>4071.825513180112</v>
      </c>
      <c r="AA30" s="4">
        <v>3618.736031643552</v>
      </c>
      <c r="AB30" s="4">
        <v>3203.086943290022</v>
      </c>
      <c r="AC30" s="4">
        <v>2825.048784678103</v>
      </c>
      <c r="AD30" s="4">
        <v>2483.772234864271</v>
      </c>
      <c r="AE30" s="4">
        <v>2177.667736959498</v>
      </c>
      <c r="AF30" s="4">
        <v>1904.644572548219</v>
      </c>
      <c r="AG30" s="4">
        <v>1662.306842255464</v>
      </c>
      <c r="AH30" s="4">
        <v>1448.108013954537</v>
      </c>
      <c r="AI30" s="4">
        <v>1259.468187342369</v>
      </c>
      <c r="AJ30" s="4">
        <v>1093.859413565893</v>
      </c>
      <c r="AK30" s="4">
        <v>948.8647027882398</v>
      </c>
      <c r="AL30" s="4">
        <v>822.2160847623018</v>
      </c>
      <c r="AM30" s="4">
        <v>711.8165102794883</v>
      </c>
      <c r="AN30" s="4">
        <v>615.7496714843437</v>
      </c>
      <c r="AO30" s="4">
        <v>532.2810905793449</v>
      </c>
      <c r="AP30" s="4">
        <v>459.853146223526</v>
      </c>
      <c r="AQ30" s="4">
        <v>397.0761086828425</v>
      </c>
      <c r="AR30" s="4">
        <v>342.7167505091638</v>
      </c>
      <c r="AS30" s="4">
        <v>295.6856880818377</v>
      </c>
      <c r="AT30" s="4">
        <v>255.0242824686575</v>
      </c>
      <c r="AU30" s="4">
        <v>219.8916742657311</v>
      </c>
      <c r="AV30" s="4">
        <v>189.5523341236985</v>
      </c>
      <c r="AW30" s="4">
        <v>163.364366949012</v>
      </c>
      <c r="AX30" s="4">
        <v>140.7687029568478</v>
      </c>
      <c r="AY30" s="4">
        <v>121.2792341098539</v>
      </c>
      <c r="AZ30" s="4">
        <v>104.4739027858595</v>
      </c>
      <c r="BA30" s="4">
        <v>89.98671503830701</v>
      </c>
      <c r="BB30" s="4">
        <v>77.5006289697485</v>
      </c>
      <c r="BC30" s="4">
        <v>66.7412560711964</v>
      </c>
      <c r="BD30" s="4">
        <v>57.47130718291737</v>
      </c>
      <c r="BE30" s="4">
        <v>49.48571302671917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</row>
    <row r="31" spans="1:85">
      <c r="A31" t="s">
        <v>63</v>
      </c>
      <c r="B31" s="4">
        <v>76798.85264526689</v>
      </c>
      <c r="C31" s="4">
        <v>10435.38113321687</v>
      </c>
      <c r="D31" s="4">
        <v>11553.4658187132</v>
      </c>
      <c r="E31" s="4">
        <v>12710.05012011102</v>
      </c>
      <c r="F31" s="4">
        <v>13884.71684843127</v>
      </c>
      <c r="G31" s="4">
        <v>15052.24270785213</v>
      </c>
      <c r="H31" s="4">
        <v>16183.08579104775</v>
      </c>
      <c r="I31" s="4">
        <v>17244.39007802572</v>
      </c>
      <c r="J31" s="4">
        <v>18201.52953627546</v>
      </c>
      <c r="K31" s="4">
        <v>19020.13450932578</v>
      </c>
      <c r="L31" s="4">
        <v>19668.44942036259</v>
      </c>
      <c r="M31" s="4">
        <v>20119.78234115112</v>
      </c>
      <c r="N31" s="4">
        <v>20354.74731097222</v>
      </c>
      <c r="O31" s="4">
        <v>20362.99090734555</v>
      </c>
      <c r="P31" s="4">
        <v>20144.14664265333</v>
      </c>
      <c r="Q31" s="4">
        <v>19707.86915036332</v>
      </c>
      <c r="R31" s="4">
        <v>19072.94277967815</v>
      </c>
      <c r="S31" s="4">
        <v>18265.603139969</v>
      </c>
      <c r="T31" s="4">
        <v>17317.32191516861</v>
      </c>
      <c r="U31" s="4">
        <v>16262.36178878864</v>
      </c>
      <c r="V31" s="4">
        <v>15135.40316570923</v>
      </c>
      <c r="W31" s="4">
        <v>13969.48769618513</v>
      </c>
      <c r="X31" s="4">
        <v>12794.4363982919</v>
      </c>
      <c r="Y31" s="4">
        <v>11635.80616945372</v>
      </c>
      <c r="Z31" s="4">
        <v>10514.36711107573</v>
      </c>
      <c r="AA31" s="4">
        <v>9446.025694150652</v>
      </c>
      <c r="AB31" s="4">
        <v>8442.088287844264</v>
      </c>
      <c r="AC31" s="4">
        <v>7509.752571920573</v>
      </c>
      <c r="AD31" s="4">
        <v>6652.724165478488</v>
      </c>
      <c r="AE31" s="4">
        <v>5871.87510563992</v>
      </c>
      <c r="AF31" s="4">
        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3017.542448908323</v>
      </c>
      <c r="AK31" s="4">
        <v>2625.328273026971</v>
      </c>
      <c r="AL31" s="4">
        <v>2280.778370136861</v>
      </c>
      <c r="AM31" s="4">
        <v>1978.948658542708</v>
      </c>
      <c r="AN31" s="4">
        <v>1715.182845103554</v>
      </c>
      <c r="AO31" s="4">
        <v>1485.163032384706</v>
      </c>
      <c r="AP31" s="4">
        <v>1284.934237535577</v>
      </c>
      <c r="AQ31" s="4">
        <v>1110.909910187824</v>
      </c>
      <c r="AR31" s="4">
        <v>959.8641323302872</v>
      </c>
      <c r="AS31" s="4">
        <v>828.9149342043092</v>
      </c>
      <c r="AT31" s="4">
        <v>715.5020988748875</v>
      </c>
      <c r="AU31" s="4">
        <v>617.3619565913687</v>
      </c>
      <c r="AV31" s="4">
        <v>532.5009738468798</v>
      </c>
      <c r="AW31" s="4">
        <v>459.1693989761407</v>
      </c>
      <c r="AX31" s="4">
        <v>395.8358113626018</v>
      </c>
      <c r="AY31" s="4">
        <v>341.1631110470043</v>
      </c>
      <c r="AZ31" s="4">
        <v>293.9862581640482</v>
      </c>
      <c r="BA31" s="4">
        <v>253.2919088301715</v>
      </c>
      <c r="BB31" s="4">
        <v>218.1999806251843</v>
      </c>
      <c r="BC31" s="4">
        <v>187.9471044058446</v>
      </c>
      <c r="BD31" s="4">
        <v>161.8718701656908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>
      <c r="A32" t="s">
        <v>64</v>
      </c>
      <c r="B32" s="4">
        <v>40146.50358481325</v>
      </c>
      <c r="C32" s="4">
        <v>5449.731057074045</v>
      </c>
      <c r="D32" s="4">
        <v>6032.143311751141</v>
      </c>
      <c r="E32" s="4">
        <v>6634.193721749929</v>
      </c>
      <c r="F32" s="4">
        <v>7245.161438497664</v>
      </c>
      <c r="G32" s="4">
        <v>7851.831875284443</v>
      </c>
      <c r="H32" s="4">
        <v>8438.760509151398</v>
      </c>
      <c r="I32" s="4">
        <v>8988.806669912854</v>
      </c>
      <c r="J32" s="4">
        <v>9483.947602365166</v>
      </c>
      <c r="K32" s="4">
        <v>9906.34110197163</v>
      </c>
      <c r="L32" s="4">
        <v>10239.55621155331</v>
      </c>
      <c r="M32" s="4">
        <v>10469.84582103441</v>
      </c>
      <c r="N32" s="4">
        <v>10587.30485370473</v>
      </c>
      <c r="O32" s="4">
        <v>10586.7540801389</v>
      </c>
      <c r="P32" s="4">
        <v>10468.21798647419</v>
      </c>
      <c r="Q32" s="4">
        <v>10236.92249029397</v>
      </c>
      <c r="R32" s="4">
        <v>9902.812863661413</v>
      </c>
      <c r="S32" s="4">
        <v>9479.66670445833</v>
      </c>
      <c r="T32" s="4">
        <v>8983.933937277296</v>
      </c>
      <c r="U32" s="4">
        <v>8433.46391346681</v>
      </c>
      <c r="V32" s="4">
        <v>7846.275755085517</v>
      </c>
      <c r="W32" s="4">
        <v>7239.497729508555</v>
      </c>
      <c r="X32" s="4">
        <v>6628.555711282883</v>
      </c>
      <c r="Y32" s="4">
        <v>6026.641998139006</v>
      </c>
      <c r="Z32" s="4">
        <v>5444.45385958266</v>
      </c>
      <c r="AA32" s="4">
        <v>4890.161915903183</v>
      </c>
      <c r="AB32" s="4">
        <v>4369.553130536311</v>
      </c>
      <c r="AC32" s="4">
        <v>3886.289988016593</v>
      </c>
      <c r="AD32" s="4">
        <v>3442.232805418025</v>
      </c>
      <c r="AE32" s="4">
        <v>3037.782288669085</v>
      </c>
      <c r="AF32" s="4">
        <v>2672.211204053485</v>
      </c>
      <c r="AG32" s="4">
        <v>2343.965179612103</v>
      </c>
      <c r="AH32" s="4">
        <v>2050.921953312587</v>
      </c>
      <c r="AI32" s="4">
        <v>1790.605395849154</v>
      </c>
      <c r="AJ32" s="4">
        <v>1560.355421504006</v>
      </c>
      <c r="AK32" s="4">
        <v>1357.457802098303</v>
      </c>
      <c r="AL32" s="4">
        <v>1179.239357864601</v>
      </c>
      <c r="AM32" s="4">
        <v>1023.134446095442</v>
      </c>
      <c r="AN32" s="4">
        <v>886.7284689003136</v>
      </c>
      <c r="AO32" s="4">
        <v>767.7835559825762</v>
      </c>
      <c r="AP32" s="4">
        <v>664.25084600423</v>
      </c>
      <c r="AQ32" s="4">
        <v>574.2730211818125</v>
      </c>
      <c r="AR32" s="4">
        <v>496.1800221638405</v>
      </c>
      <c r="AS32" s="4">
        <v>428.4802245459869</v>
      </c>
      <c r="AT32" s="4">
        <v>369.848810532887</v>
      </c>
      <c r="AU32" s="4">
        <v>319.1146199142095</v>
      </c>
      <c r="AV32" s="4">
        <v>275.2464059873018</v>
      </c>
      <c r="AW32" s="4">
        <v>237.3391426032176</v>
      </c>
      <c r="AX32" s="4">
        <v>204.6008152908762</v>
      </c>
      <c r="AY32" s="4">
        <v>176.3399700094014</v>
      </c>
      <c r="AZ32" s="4">
        <v>151.9541763992747</v>
      </c>
      <c r="BA32" s="4">
        <v>130.9194789230824</v>
      </c>
      <c r="BB32" s="4">
        <v>112.780851176125</v>
      </c>
      <c r="BC32" s="4">
        <v>97.14362958451966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spans="1:85">
      <c r="A33" t="s">
        <v>65</v>
      </c>
      <c r="B33" s="4">
        <v>32283.46059185033</v>
      </c>
      <c r="C33" s="4">
        <v>4487.79171447075</v>
      </c>
      <c r="D33" s="4">
        <v>4997.593295879102</v>
      </c>
      <c r="E33" s="4">
        <v>5533.371290090552</v>
      </c>
      <c r="F33" s="4">
        <v>6087.686869357502</v>
      </c>
      <c r="G33" s="4">
        <v>6650.774585890031</v>
      </c>
      <c r="H33" s="4">
        <v>7210.563886641874</v>
      </c>
      <c r="I33" s="4">
        <v>7752.91061053524</v>
      </c>
      <c r="J33" s="4">
        <v>8262.076078698126</v>
      </c>
      <c r="K33" s="4">
        <v>8721.464922300976</v>
      </c>
      <c r="L33" s="4">
        <v>9114.594578332253</v>
      </c>
      <c r="M33" s="4">
        <v>9426.224509636755</v>
      </c>
      <c r="N33" s="4">
        <v>9643.530716063164</v>
      </c>
      <c r="O33" s="4">
        <v>9757.182317004059</v>
      </c>
      <c r="P33" s="4">
        <v>9762.172223460293</v>
      </c>
      <c r="Q33" s="4">
        <v>9658.278599338373</v>
      </c>
      <c r="R33" s="4">
        <v>9450.085554301768</v>
      </c>
      <c r="S33" s="4">
        <v>9146.559810995677</v>
      </c>
      <c r="T33" s="4">
        <v>8760.249157108366</v>
      </c>
      <c r="U33" s="4">
        <v>8306.222286791832</v>
      </c>
      <c r="V33" s="4">
        <v>7800.897009952285</v>
      </c>
      <c r="W33" s="4">
        <v>7260.901605192717</v>
      </c>
      <c r="X33" s="4">
        <v>6702.087112338864</v>
      </c>
      <c r="Y33" s="4">
        <v>6138.76663805719</v>
      </c>
      <c r="Z33" s="4">
        <v>5583.212665175815</v>
      </c>
      <c r="AA33" s="4">
        <v>5045.404260860989</v>
      </c>
      <c r="AB33" s="4">
        <v>4532.988442750502</v>
      </c>
      <c r="AC33" s="4">
        <v>4051.405219956039</v>
      </c>
      <c r="AD33" s="4">
        <v>3604.122376560874</v>
      </c>
      <c r="AE33" s="4">
        <v>3192.930709210952</v>
      </c>
      <c r="AF33" s="4">
        <v>2818.259655232338</v>
      </c>
      <c r="AG33" s="4">
        <v>2479.484070563281</v>
      </c>
      <c r="AH33" s="4">
        <v>2175.203252773761</v>
      </c>
      <c r="AI33" s="4">
        <v>1903.481979806966</v>
      </c>
      <c r="AJ33" s="4">
        <v>1662.049905749445</v>
      </c>
      <c r="AK33" s="4">
        <v>1448.460163345677</v>
      </c>
      <c r="AL33" s="4">
        <v>1260.210775537766</v>
      </c>
      <c r="AM33" s="4">
        <v>1094.833880033024</v>
      </c>
      <c r="AN33" s="4">
        <v>949.9582211399393</v>
      </c>
      <c r="AO33" s="4">
        <v>823.3502022559987</v>
      </c>
      <c r="AP33" s="4">
        <v>712.9382831148978</v>
      </c>
      <c r="AQ33" s="4">
        <v>616.8248351642105</v>
      </c>
      <c r="AR33" s="4">
        <v>533.2888592470554</v>
      </c>
      <c r="AS33" s="4">
        <v>460.7822959745827</v>
      </c>
      <c r="AT33" s="4">
        <v>397.9220596538798</v>
      </c>
      <c r="AU33" s="4">
        <v>343.4794169640518</v>
      </c>
      <c r="AV33" s="4">
        <v>296.3679129142838</v>
      </c>
      <c r="AW33" s="4">
        <v>255.6307121354621</v>
      </c>
      <c r="AX33" s="4">
        <v>220.4279625629133</v>
      </c>
      <c r="AY33" s="4">
        <v>190.0245892190142</v>
      </c>
      <c r="AZ33" s="4">
        <v>163.7787766297988</v>
      </c>
      <c r="BA33" s="4">
        <v>141.1312890854897</v>
      </c>
      <c r="BB33" s="4">
        <v>121.5956996509049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spans="1:85">
      <c r="A34" t="s">
        <v>66</v>
      </c>
      <c r="B34" s="4">
        <v>30230.17608885284</v>
      </c>
      <c r="C34" s="4">
        <v>4214.895895487829</v>
      </c>
      <c r="D34" s="4">
        <v>4697.310387297854</v>
      </c>
      <c r="E34" s="4">
        <v>5205.342818704266</v>
      </c>
      <c r="F34" s="4">
        <v>5732.203670062634</v>
      </c>
      <c r="G34" s="4">
        <v>6268.894233806925</v>
      </c>
      <c r="H34" s="4">
        <v>6804.202480626576</v>
      </c>
      <c r="I34" s="4">
        <v>7324.892838839725</v>
      </c>
      <c r="J34" s="4">
        <v>7816.128347010876</v>
      </c>
      <c r="K34" s="4">
        <v>8262.140146264152</v>
      </c>
      <c r="L34" s="4">
        <v>8647.124210654918</v>
      </c>
      <c r="M34" s="4">
        <v>8956.302855959846</v>
      </c>
      <c r="N34" s="4">
        <v>9177.047070191737</v>
      </c>
      <c r="O34" s="4">
        <v>9299.925724118948</v>
      </c>
      <c r="P34" s="4">
        <v>9319.539457728111</v>
      </c>
      <c r="Q34" s="4">
        <v>9235.016543421691</v>
      </c>
      <c r="R34" s="4">
        <v>9050.094171012985</v>
      </c>
      <c r="S34" s="4">
        <v>8772.772365538171</v>
      </c>
      <c r="T34" s="4">
        <v>8414.594525377994</v>
      </c>
      <c r="U34" s="4">
        <v>7989.662763569562</v>
      </c>
      <c r="V34" s="4">
        <v>7513.526308319269</v>
      </c>
      <c r="W34" s="4">
        <v>7002.083005377412</v>
      </c>
      <c r="X34" s="4">
        <v>6470.611077021982</v>
      </c>
      <c r="Y34" s="4">
        <v>5933.009812729288</v>
      </c>
      <c r="Z34" s="4">
        <v>5401.284694276925</v>
      </c>
      <c r="AA34" s="4">
        <v>4885.273933853372</v>
      </c>
      <c r="AB34" s="4">
        <v>4392.585317178717</v>
      </c>
      <c r="AC34" s="4">
        <v>3928.696470639348</v>
      </c>
      <c r="AD34" s="4">
        <v>3497.167014984414</v>
      </c>
      <c r="AE34" s="4">
        <v>3099.914609808126</v>
      </c>
      <c r="AF34" s="4">
        <v>2737.515264055604</v>
      </c>
      <c r="AG34" s="4">
        <v>2409.498539446795</v>
      </c>
      <c r="AH34" s="4">
        <v>2114.618288114143</v>
      </c>
      <c r="AI34" s="4">
        <v>1851.088107355958</v>
      </c>
      <c r="AJ34" s="4">
        <v>1616.777254480461</v>
      </c>
      <c r="AK34" s="4">
        <v>1409.367331702699</v>
      </c>
      <c r="AL34" s="4">
        <v>1226.472892561258</v>
      </c>
      <c r="AM34" s="4">
        <v>1065.730617722467</v>
      </c>
      <c r="AN34" s="4">
        <v>924.8622451856791</v>
      </c>
      <c r="AO34" s="4">
        <v>801.7163522381161</v>
      </c>
      <c r="AP34" s="4">
        <v>694.2936354107806</v>
      </c>
      <c r="AQ34" s="4">
        <v>600.7597082196444</v>
      </c>
      <c r="AR34" s="4">
        <v>519.4487598362903</v>
      </c>
      <c r="AS34" s="4">
        <v>448.8607672837388</v>
      </c>
      <c r="AT34" s="4">
        <v>387.6543703834468</v>
      </c>
      <c r="AU34" s="4">
        <v>334.637019913469</v>
      </c>
      <c r="AV34" s="4">
        <v>288.7535979497479</v>
      </c>
      <c r="AW34" s="4">
        <v>249.0743793864967</v>
      </c>
      <c r="AX34" s="4">
        <v>214.7829453556042</v>
      </c>
      <c r="AY34" s="4">
        <v>185.1644613898243</v>
      </c>
      <c r="AZ34" s="4">
        <v>159.5945846869727</v>
      </c>
      <c r="BA34" s="4">
        <v>137.5291556672018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spans="1:85">
      <c r="A35" t="s">
        <v>67</v>
      </c>
      <c r="B35" s="4">
        <v>37706.86731440497</v>
      </c>
      <c r="C35" s="4">
        <v>5143.960861992768</v>
      </c>
      <c r="D35" s="4">
        <v>5700.81523127843</v>
      </c>
      <c r="E35" s="4">
        <v>6278.451940789615</v>
      </c>
      <c r="F35" s="4">
        <v>6867.038040617328</v>
      </c>
      <c r="G35" s="4">
        <v>7454.311532710148</v>
      </c>
      <c r="H35" s="4">
        <v>8025.785946157368</v>
      </c>
      <c r="I35" s="4">
        <v>8565.209307497556</v>
      </c>
      <c r="J35" s="4">
        <v>9055.294412916104</v>
      </c>
      <c r="K35" s="4">
        <v>9478.699013485675</v>
      </c>
      <c r="L35" s="4">
        <v>9819.188128835041</v>
      </c>
      <c r="M35" s="4">
        <v>10062.86509124692</v>
      </c>
      <c r="N35" s="4">
        <v>10199.32475247777</v>
      </c>
      <c r="O35" s="4">
        <v>10222.57279641883</v>
      </c>
      <c r="P35" s="4">
        <v>10131.57602006651</v>
      </c>
      <c r="Q35" s="4">
        <v>9930.358669155423</v>
      </c>
      <c r="R35" s="4">
        <v>9627.629672704992</v>
      </c>
      <c r="S35" s="4">
        <v>9235.998945926374</v>
      </c>
      <c r="T35" s="4">
        <v>8770.900695139833</v>
      </c>
      <c r="U35" s="4">
        <v>8249.375101100741</v>
      </c>
      <c r="V35" s="4">
        <v>7688.862176583527</v>
      </c>
      <c r="W35" s="4">
        <v>7106.136835580808</v>
      </c>
      <c r="X35" s="4">
        <v>6516.472175074072</v>
      </c>
      <c r="Y35" s="4">
        <v>5933.07061075588</v>
      </c>
      <c r="Z35" s="4">
        <v>5366.760117532365</v>
      </c>
      <c r="AA35" s="4">
        <v>4825.921820328134</v>
      </c>
      <c r="AB35" s="4">
        <v>4316.597678821941</v>
      </c>
      <c r="AC35" s="4">
        <v>3842.721738755819</v>
      </c>
      <c r="AD35" s="4">
        <v>3406.422198729037</v>
      </c>
      <c r="AE35" s="4">
        <v>3008.350668933999</v>
      </c>
      <c r="AF35" s="4">
        <v>2648.006231326959</v>
      </c>
      <c r="AG35" s="4">
        <v>2324.03291126783</v>
      </c>
      <c r="AH35" s="4">
        <v>2034.478569766565</v>
      </c>
      <c r="AI35" s="4">
        <v>1777.010454879957</v>
      </c>
      <c r="AJ35" s="4">
        <v>1549.087691468303</v>
      </c>
      <c r="AK35" s="4">
        <v>1348.094130892423</v>
      </c>
      <c r="AL35" s="4">
        <v>1171.436642620421</v>
      </c>
      <c r="AM35" s="4">
        <v>1016.614531894971</v>
      </c>
      <c r="AN35" s="4">
        <v>881.2656794884242</v>
      </c>
      <c r="AO35" s="4">
        <v>763.1945090826484</v>
      </c>
      <c r="AP35" s="4">
        <v>660.3862024275586</v>
      </c>
      <c r="AQ35" s="4">
        <v>571.0108403461054</v>
      </c>
      <c r="AR35" s="4">
        <v>493.4204332635272</v>
      </c>
      <c r="AS35" s="4">
        <v>426.1411637639394</v>
      </c>
      <c r="AT35" s="4">
        <v>367.8626151544158</v>
      </c>
      <c r="AU35" s="4">
        <v>317.4253072566935</v>
      </c>
      <c r="AV35" s="4">
        <v>273.8074974454939</v>
      </c>
      <c r="AW35" s="4">
        <v>236.1119205509895</v>
      </c>
      <c r="AX35" s="4">
        <v>203.5529233108973</v>
      </c>
      <c r="AY35" s="4">
        <v>175.4442854429362</v>
      </c>
      <c r="AZ35" s="4">
        <v>151.1878990991972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spans="1:85">
      <c r="A36" t="s">
        <v>68</v>
      </c>
      <c r="B36" s="4">
        <v>23067.35036630403</v>
      </c>
      <c r="C36" s="4">
        <v>3092.816190601581</v>
      </c>
      <c r="D36" s="4">
        <v>3412.766952364229</v>
      </c>
      <c r="E36" s="4">
        <v>3740.613448485099</v>
      </c>
      <c r="F36" s="4">
        <v>4069.898491518892</v>
      </c>
      <c r="G36" s="4">
        <v>4392.873532332385</v>
      </c>
      <c r="H36" s="4">
        <v>4700.711222416205</v>
      </c>
      <c r="I36" s="4">
        <v>4983.868764092782</v>
      </c>
      <c r="J36" s="4">
        <v>5232.597084755464</v>
      </c>
      <c r="K36" s="4">
        <v>5437.565863456963</v>
      </c>
      <c r="L36" s="4">
        <v>5590.548174388838</v>
      </c>
      <c r="M36" s="4">
        <v>5685.087196838926</v>
      </c>
      <c r="N36" s="4">
        <v>5717.057657489611</v>
      </c>
      <c r="O36" s="4">
        <v>5685.041160816472</v>
      </c>
      <c r="P36" s="4">
        <v>5590.458136264439</v>
      </c>
      <c r="Q36" s="4">
        <v>5437.435702917792</v>
      </c>
      <c r="R36" s="4">
        <v>5232.432180259653</v>
      </c>
      <c r="S36" s="4">
        <v>4983.675538836935</v>
      </c>
      <c r="T36" s="4">
        <v>4700.496646114712</v>
      </c>
      <c r="U36" s="4">
        <v>4392.644640088416</v>
      </c>
      <c r="V36" s="4">
        <v>4069.661969095439</v>
      </c>
      <c r="W36" s="4">
        <v>3740.375315286801</v>
      </c>
      <c r="X36" s="4">
        <v>3412.532354269832</v>
      </c>
      <c r="Y36" s="4">
        <v>3092.589298364226</v>
      </c>
      <c r="Z36" s="4">
        <v>2785.634723089213</v>
      </c>
      <c r="AA36" s="4">
        <v>2495.423156003439</v>
      </c>
      <c r="AB36" s="4">
        <v>2224.487085114204</v>
      </c>
      <c r="AC36" s="4">
        <v>1974.296869227197</v>
      </c>
      <c r="AD36" s="4">
        <v>1745.442454723088</v>
      </c>
      <c r="AE36" s="4">
        <v>1537.816894460324</v>
      </c>
      <c r="AF36" s="4">
        <v>1350.787955428357</v>
      </c>
      <c r="AG36" s="4">
        <v>1183.349672224547</v>
      </c>
      <c r="AH36" s="4">
        <v>1034.25011674955</v>
      </c>
      <c r="AI36" s="4">
        <v>902.094823923544</v>
      </c>
      <c r="AJ36" s="4">
        <v>785.4273620520253</v>
      </c>
      <c r="AK36" s="4">
        <v>682.7896850700199</v>
      </c>
      <c r="AL36" s="4">
        <v>592.7653928129876</v>
      </c>
      <c r="AM36" s="4">
        <v>514.0090718440479</v>
      </c>
      <c r="AN36" s="4">
        <v>445.2646679185564</v>
      </c>
      <c r="AO36" s="4">
        <v>385.3754807344812</v>
      </c>
      <c r="AP36" s="4">
        <v>333.2879601066525</v>
      </c>
      <c r="AQ36" s="4">
        <v>288.0510752907139</v>
      </c>
      <c r="AR36" s="4">
        <v>248.812656956201</v>
      </c>
      <c r="AS36" s="4">
        <v>214.8137888151105</v>
      </c>
      <c r="AT36" s="4">
        <v>185.3820571249817</v>
      </c>
      <c r="AU36" s="4">
        <v>159.9242489526805</v>
      </c>
      <c r="AV36" s="4">
        <v>137.9189187414304</v>
      </c>
      <c r="AW36" s="4">
        <v>118.9091105949774</v>
      </c>
      <c r="AX36" s="4">
        <v>102.4954239042127</v>
      </c>
      <c r="AY36" s="4">
        <v>88.32953609712422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spans="1:85">
      <c r="A37" t="s">
        <v>69</v>
      </c>
      <c r="B37" s="4">
        <v>48530.00087460262</v>
      </c>
      <c r="C37" s="4">
        <v>6663.851471188871</v>
      </c>
      <c r="D37" s="4">
        <v>7397.503831835267</v>
      </c>
      <c r="E37" s="4">
        <v>8162.016444147492</v>
      </c>
      <c r="F37" s="4">
        <v>8945.186538681839</v>
      </c>
      <c r="G37" s="4">
        <v>9731.545611239533</v>
      </c>
      <c r="H37" s="4">
        <v>10502.5458727775</v>
      </c>
      <c r="I37" s="4">
        <v>11237.07297500376</v>
      </c>
      <c r="J37" s="4">
        <v>11912.3190657502</v>
      </c>
      <c r="K37" s="4">
        <v>12505.00353090138</v>
      </c>
      <c r="L37" s="4">
        <v>12992.86892266004</v>
      </c>
      <c r="M37" s="4">
        <v>13356.31690535424</v>
      </c>
      <c r="N37" s="4">
        <v>13579.99843344401</v>
      </c>
      <c r="O37" s="4">
        <v>13654.14950903278</v>
      </c>
      <c r="P37" s="4">
        <v>13575.47997033558</v>
      </c>
      <c r="Q37" s="4">
        <v>13347.47960929334</v>
      </c>
      <c r="R37" s="4">
        <v>12980.09358661526</v>
      </c>
      <c r="S37" s="4">
        <v>12488.81805296245</v>
      </c>
      <c r="T37" s="4">
        <v>11893.3538857153</v>
      </c>
      <c r="U37" s="4">
        <v>11216.01217387544</v>
      </c>
      <c r="V37" s="4">
        <v>10480.0799497572</v>
      </c>
      <c r="W37" s="4">
        <v>9708.330777891853</v>
      </c>
      <c r="X37" s="4">
        <v>8921.813603383838</v>
      </c>
      <c r="Y37" s="4">
        <v>8138.990478441119</v>
      </c>
      <c r="Z37" s="4">
        <v>7375.234198261751</v>
      </c>
      <c r="AA37" s="4">
        <v>6642.650668591959</v>
      </c>
      <c r="AB37" s="4">
        <v>5950.16238137614</v>
      </c>
      <c r="AC37" s="4">
        <v>5303.778085454658</v>
      </c>
      <c r="AD37" s="4">
        <v>4706.975870057417</v>
      </c>
      <c r="AE37" s="4">
        <v>4161.137528828636</v>
      </c>
      <c r="AF37" s="4">
        <v>3665.986648681224</v>
      </c>
      <c r="AG37" s="4">
        <v>3219.997880200157</v>
      </c>
      <c r="AH37" s="4">
        <v>2820.75811532198</v>
      </c>
      <c r="AI37" s="4">
        <v>2465.270795326796</v>
      </c>
      <c r="AJ37" s="4">
        <v>2150.202100041672</v>
      </c>
      <c r="AK37" s="4">
        <v>1872.072627240734</v>
      </c>
      <c r="AL37" s="4">
        <v>1627.400887579599</v>
      </c>
      <c r="AM37" s="4">
        <v>1412.806089319347</v>
      </c>
      <c r="AN37" s="4">
        <v>1225.077785885776</v>
      </c>
      <c r="AO37" s="4">
        <v>1061.219423688424</v>
      </c>
      <c r="AP37" s="4">
        <v>918.4719637324451</v>
      </c>
      <c r="AQ37" s="4">
        <v>794.3227671125205</v>
      </c>
      <c r="AR37" s="4">
        <v>686.5039622420445</v>
      </c>
      <c r="AS37" s="4">
        <v>592.9836242250749</v>
      </c>
      <c r="AT37" s="4">
        <v>511.9523283997551</v>
      </c>
      <c r="AU37" s="4">
        <v>441.8069999691797</v>
      </c>
      <c r="AV37" s="4">
        <v>381.1334642798756</v>
      </c>
      <c r="AW37" s="4">
        <v>328.6886945460574</v>
      </c>
      <c r="AX37" s="4">
        <v>283.3834395005251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</row>
    <row r="38" spans="1:85">
      <c r="A38" t="s">
        <v>70</v>
      </c>
      <c r="B38" s="4">
        <v>54986.96527345567</v>
      </c>
      <c r="C38" s="4">
        <v>7367.289426374758</v>
      </c>
      <c r="D38" s="4">
        <v>8127.997910727252</v>
      </c>
      <c r="E38" s="4">
        <v>8907.082690230382</v>
      </c>
      <c r="F38" s="4">
        <v>9689.11696882252</v>
      </c>
      <c r="G38" s="4">
        <v>10455.61577158682</v>
      </c>
      <c r="H38" s="4">
        <v>11185.55045051951</v>
      </c>
      <c r="I38" s="4">
        <v>11856.221743677</v>
      </c>
      <c r="J38" s="4">
        <v>12444.4781024347</v>
      </c>
      <c r="K38" s="4">
        <v>12928.2063529132</v>
      </c>
      <c r="L38" s="4">
        <v>13287.95948237798</v>
      </c>
      <c r="M38" s="4">
        <v>13508.53626227245</v>
      </c>
      <c r="N38" s="4">
        <v>13580.30512651295</v>
      </c>
      <c r="O38" s="4">
        <v>13500.08128398465</v>
      </c>
      <c r="P38" s="4">
        <v>13271.42307336719</v>
      </c>
      <c r="Q38" s="4">
        <v>12904.30105246216</v>
      </c>
      <c r="R38" s="4">
        <v>12414.19171320318</v>
      </c>
      <c r="S38" s="4">
        <v>11820.73394509606</v>
      </c>
      <c r="T38" s="4">
        <v>11146.14129652662</v>
      </c>
      <c r="U38" s="4">
        <v>10413.57732710883</v>
      </c>
      <c r="V38" s="4">
        <v>9645.67714096565</v>
      </c>
      <c r="W38" s="4">
        <v>8863.347004617448</v>
      </c>
      <c r="X38" s="4">
        <v>8084.911462800927</v>
      </c>
      <c r="Y38" s="4">
        <v>7325.61822106014</v>
      </c>
      <c r="Z38" s="4">
        <v>6597.465320134244</v>
      </c>
      <c r="AA38" s="4">
        <v>5909.287071105093</v>
      </c>
      <c r="AB38" s="4">
        <v>5267.024194896803</v>
      </c>
      <c r="AC38" s="4">
        <v>4674.105871895445</v>
      </c>
      <c r="AD38" s="4">
        <v>4131.882078617346</v>
      </c>
      <c r="AE38" s="4">
        <v>3640.059111373208</v>
      </c>
      <c r="AF38" s="4">
        <v>3197.106116691313</v>
      </c>
      <c r="AG38" s="4">
        <v>2800.613613914815</v>
      </c>
      <c r="AH38" s="4">
        <v>2447.595397186291</v>
      </c>
      <c r="AI38" s="4">
        <v>2134.732653805113</v>
      </c>
      <c r="AJ38" s="4">
        <v>1858.563936260995</v>
      </c>
      <c r="AK38" s="4">
        <v>1615.627302890993</v>
      </c>
      <c r="AL38" s="4">
        <v>1402.562068013998</v>
      </c>
      <c r="AM38" s="4">
        <v>1216.177689990727</v>
      </c>
      <c r="AN38" s="4">
        <v>1053.496786907781</v>
      </c>
      <c r="AO38" s="4">
        <v>911.778407672944</v>
      </c>
      <c r="AP38" s="4">
        <v>788.5267076207092</v>
      </c>
      <c r="AQ38" s="4">
        <v>681.4892114928225</v>
      </c>
      <c r="AR38" s="4">
        <v>588.6479653922142</v>
      </c>
      <c r="AS38" s="4">
        <v>508.2061167455977</v>
      </c>
      <c r="AT38" s="4">
        <v>438.5718263059389</v>
      </c>
      <c r="AU38" s="4">
        <v>378.340903188393</v>
      </c>
      <c r="AV38" s="4">
        <v>326.2791496978607</v>
      </c>
      <c r="AW38" s="4">
        <v>281.3050911964965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spans="1:85">
      <c r="A39" t="s">
        <v>71</v>
      </c>
      <c r="B39" s="4">
        <v>63833.99640543375</v>
      </c>
      <c r="C39" s="4">
        <v>8665.894516992586</v>
      </c>
      <c r="D39" s="4">
        <v>9592.207088711322</v>
      </c>
      <c r="E39" s="4">
        <v>10549.8065377328</v>
      </c>
      <c r="F39" s="4">
        <v>11521.65243762254</v>
      </c>
      <c r="G39" s="4">
        <v>12486.73687741264</v>
      </c>
      <c r="H39" s="4">
        <v>13420.5027803885</v>
      </c>
      <c r="I39" s="4">
        <v>14295.69154745695</v>
      </c>
      <c r="J39" s="4">
        <v>15083.6365738553</v>
      </c>
      <c r="K39" s="4">
        <v>15755.95245567002</v>
      </c>
      <c r="L39" s="4">
        <v>16286.49206935609</v>
      </c>
      <c r="M39" s="4">
        <v>16653.37105236881</v>
      </c>
      <c r="N39" s="4">
        <v>16840.81112895487</v>
      </c>
      <c r="O39" s="4">
        <v>16840.54777409992</v>
      </c>
      <c r="P39" s="4">
        <v>16652.59269596255</v>
      </c>
      <c r="Q39" s="4">
        <v>16285.23274371278</v>
      </c>
      <c r="R39" s="4">
        <v>15754.26541269483</v>
      </c>
      <c r="S39" s="4">
        <v>15081.58964333555</v>
      </c>
      <c r="T39" s="4">
        <v>14293.36162853305</v>
      </c>
      <c r="U39" s="4">
        <v>13417.97018947901</v>
      </c>
      <c r="V39" s="4">
        <v>12484.08019372838</v>
      </c>
      <c r="W39" s="4">
        <v>11518.94430991175</v>
      </c>
      <c r="X39" s="4">
        <v>10547.11069791898</v>
      </c>
      <c r="Y39" s="4">
        <v>9589.576611140219</v>
      </c>
      <c r="Z39" s="4">
        <v>8663.371201571834</v>
      </c>
      <c r="AA39" s="4">
        <v>7781.504170405562</v>
      </c>
      <c r="AB39" s="4">
        <v>6953.192476161581</v>
      </c>
      <c r="AC39" s="4">
        <v>6184.272151074954</v>
      </c>
      <c r="AD39" s="4">
        <v>5477.710793195758</v>
      </c>
      <c r="AE39" s="4">
        <v>4834.152452903974</v>
      </c>
      <c r="AF39" s="4">
        <v>4252.445335670665</v>
      </c>
      <c r="AG39" s="4">
        <v>3730.120477313001</v>
      </c>
      <c r="AH39" s="4">
        <v>3263.804355994565</v>
      </c>
      <c r="AI39" s="4">
        <v>2849.55956954672</v>
      </c>
      <c r="AJ39" s="4">
        <v>2483.155329755449</v>
      </c>
      <c r="AK39" s="4">
        <v>2160.274149426667</v>
      </c>
      <c r="AL39" s="4">
        <v>1876.663424815575</v>
      </c>
      <c r="AM39" s="4">
        <v>1628.241331303434</v>
      </c>
      <c r="AN39" s="4">
        <v>1411.166135355772</v>
      </c>
      <c r="AO39" s="4">
        <v>1221.877127699496</v>
      </c>
      <c r="AP39" s="4">
        <v>1057.1142181959</v>
      </c>
      <c r="AQ39" s="4">
        <v>913.9220097216894</v>
      </c>
      <c r="AR39" s="4">
        <v>789.6430106454063</v>
      </c>
      <c r="AS39" s="4">
        <v>681.9036179137765</v>
      </c>
      <c r="AT39" s="4">
        <v>588.595630789001</v>
      </c>
      <c r="AU39" s="4">
        <v>507.855340020149</v>
      </c>
      <c r="AV39" s="4">
        <v>438.041666480829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spans="1:85">
      <c r="A40" t="s">
        <v>72</v>
      </c>
      <c r="B40" s="4">
        <v>88955.91834522305</v>
      </c>
      <c r="C40" s="4">
        <v>12350.36264160745</v>
      </c>
      <c r="D40" s="4">
        <v>13748.86105400656</v>
      </c>
      <c r="E40" s="4">
        <v>15217.34483392634</v>
      </c>
      <c r="F40" s="4">
        <v>16735.10494830583</v>
      </c>
      <c r="G40" s="4">
        <v>18275.06117142524</v>
      </c>
      <c r="H40" s="4">
        <v>19803.85130199121</v>
      </c>
      <c r="I40" s="4">
        <v>21282.50196485364</v>
      </c>
      <c r="J40" s="4">
        <v>22667.7805261756</v>
      </c>
      <c r="K40" s="4">
        <v>23914.25320198707</v>
      </c>
      <c r="L40" s="4">
        <v>24976.96837532305</v>
      </c>
      <c r="M40" s="4">
        <v>25814.56105281878</v>
      </c>
      <c r="N40" s="4">
        <v>26392.45956118999</v>
      </c>
      <c r="O40" s="4">
        <v>26685.80007494189</v>
      </c>
      <c r="P40" s="4">
        <v>26681.64609709015</v>
      </c>
      <c r="Q40" s="4">
        <v>26380.18230375991</v>
      </c>
      <c r="R40" s="4">
        <v>25794.69731725496</v>
      </c>
      <c r="S40" s="4">
        <v>24950.35811929358</v>
      </c>
      <c r="T40" s="4">
        <v>23881.96632451063</v>
      </c>
      <c r="U40" s="4">
        <v>22631.02998012828</v>
      </c>
      <c r="V40" s="4">
        <v>21242.554605229</v>
      </c>
      <c r="W40" s="4">
        <v>19761.94658272294</v>
      </c>
      <c r="X40" s="4">
        <v>18232.34500389663</v>
      </c>
      <c r="Y40" s="4">
        <v>16692.58259648655</v>
      </c>
      <c r="Z40" s="4">
        <v>15175.85345683224</v>
      </c>
      <c r="AA40" s="4">
        <v>13709.05997564388</v>
      </c>
      <c r="AB40" s="4">
        <v>12312.73787212989</v>
      </c>
      <c r="AC40" s="4">
        <v>11001.41996382235</v>
      </c>
      <c r="AD40" s="4">
        <v>9784.291450849036</v>
      </c>
      <c r="AE40" s="4">
        <v>8666.003196434118</v>
      </c>
      <c r="AF40" s="4">
        <v>7647.535172127886</v>
      </c>
      <c r="AG40" s="4">
        <v>6727.031880810508</v>
      </c>
      <c r="AH40" s="4">
        <v>5900.559626889648</v>
      </c>
      <c r="AI40" s="4">
        <v>5162.758897754364</v>
      </c>
      <c r="AJ40" s="4">
        <v>4507.382737209904</v>
      </c>
      <c r="AK40" s="4">
        <v>3927.724004783551</v>
      </c>
      <c r="AL40" s="4">
        <v>3416.941689281142</v>
      </c>
      <c r="AM40" s="4">
        <v>2968.300093428581</v>
      </c>
      <c r="AN40" s="4">
        <v>2575.33581418742</v>
      </c>
      <c r="AO40" s="4">
        <v>2231.966929044458</v>
      </c>
      <c r="AP40" s="4">
        <v>1932.557367583271</v>
      </c>
      <c r="AQ40" s="4">
        <v>1671.947599729872</v>
      </c>
      <c r="AR40" s="4">
        <v>1445.460834281519</v>
      </c>
      <c r="AS40" s="4">
        <v>1248.892089040135</v>
      </c>
      <c r="AT40" s="4">
        <v>1078.485868630116</v>
      </c>
      <c r="AU40" s="4">
        <v>930.90680759307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</row>
    <row r="41" spans="1:85">
      <c r="A41" t="s">
        <v>73</v>
      </c>
      <c r="B41" s="4">
        <v>86048.08765983638</v>
      </c>
      <c r="C41" s="4">
        <v>11520.03719809222</v>
      </c>
      <c r="D41" s="4">
        <v>12707.09968590937</v>
      </c>
      <c r="E41" s="4">
        <v>13922.16490335634</v>
      </c>
      <c r="F41" s="4">
        <v>15141.03431933443</v>
      </c>
      <c r="G41" s="4">
        <v>16334.75805884445</v>
      </c>
      <c r="H41" s="4">
        <v>17470.45322318189</v>
      </c>
      <c r="I41" s="4">
        <v>18512.68173935614</v>
      </c>
      <c r="J41" s="4">
        <v>19425.36448633936</v>
      </c>
      <c r="K41" s="4">
        <v>20174.11505690601</v>
      </c>
      <c r="L41" s="4">
        <v>20728.77963920316</v>
      </c>
      <c r="M41" s="4">
        <v>21065.89238609196</v>
      </c>
      <c r="N41" s="4">
        <v>21170.72250187688</v>
      </c>
      <c r="O41" s="4">
        <v>21038.61702751665</v>
      </c>
      <c r="P41" s="4">
        <v>20675.43394347554</v>
      </c>
      <c r="Q41" s="4">
        <v>20096.99759678857</v>
      </c>
      <c r="R41" s="4">
        <v>19327.66181076685</v>
      </c>
      <c r="S41" s="4">
        <v>18398.19938324671</v>
      </c>
      <c r="T41" s="4">
        <v>17343.3205355758</v>
      </c>
      <c r="U41" s="4">
        <v>16199.14315356541</v>
      </c>
      <c r="V41" s="4">
        <v>15000.89836128935</v>
      </c>
      <c r="W41" s="4">
        <v>13781.0742812028</v>
      </c>
      <c r="X41" s="4">
        <v>12568.10326524271</v>
      </c>
      <c r="Y41" s="4">
        <v>11385.60611884791</v>
      </c>
      <c r="Z41" s="4">
        <v>10252.13629776268</v>
      </c>
      <c r="AA41" s="4">
        <v>9181.324158710544</v>
      </c>
      <c r="AB41" s="4">
        <v>8182.30487571453</v>
      </c>
      <c r="AC41" s="4">
        <v>7260.317663995142</v>
      </c>
      <c r="AD41" s="4">
        <v>6417.380864736624</v>
      </c>
      <c r="AE41" s="4">
        <v>5652.97017107869</v>
      </c>
      <c r="AF41" s="4">
        <v>4964.65049200994</v>
      </c>
      <c r="AG41" s="4">
        <v>4348.632361917407</v>
      </c>
      <c r="AH41" s="4">
        <v>3800.239881290472</v>
      </c>
      <c r="AI41" s="4">
        <v>3314.28865514847</v>
      </c>
      <c r="AJ41" s="4">
        <v>2885.37956763804</v>
      </c>
      <c r="AK41" s="4">
        <v>2508.118320622831</v>
      </c>
      <c r="AL41" s="4">
        <v>2177.272360090748</v>
      </c>
      <c r="AM41" s="4">
        <v>1887.876913172309</v>
      </c>
      <c r="AN41" s="4">
        <v>1635.3009976045</v>
      </c>
      <c r="AO41" s="4">
        <v>1415.282912380993</v>
      </c>
      <c r="AP41" s="4">
        <v>1223.943190788734</v>
      </c>
      <c r="AQ41" s="4">
        <v>1057.781493382645</v>
      </c>
      <c r="AR41" s="4">
        <v>913.6625496252673</v>
      </c>
      <c r="AS41" s="4">
        <v>788.7950739802327</v>
      </c>
      <c r="AT41" s="4">
        <v>680.7065982096829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spans="1:85">
      <c r="A42" t="s">
        <v>74</v>
      </c>
      <c r="B42" s="4">
        <v>50648.41016245582</v>
      </c>
      <c r="C42" s="4">
        <v>7004.555996621835</v>
      </c>
      <c r="D42" s="4">
        <v>7789.92139235622</v>
      </c>
      <c r="E42" s="4">
        <v>8612.380416011438</v>
      </c>
      <c r="F42" s="4">
        <v>9459.78681305566</v>
      </c>
      <c r="G42" s="4">
        <v>10316.43992968199</v>
      </c>
      <c r="H42" s="4">
        <v>11163.18736150287</v>
      </c>
      <c r="I42" s="4">
        <v>11977.86315347889</v>
      </c>
      <c r="J42" s="4">
        <v>12736.110886436</v>
      </c>
      <c r="K42" s="4">
        <v>13412.59610278858</v>
      </c>
      <c r="L42" s="4">
        <v>13982.55104964704</v>
      </c>
      <c r="M42" s="4">
        <v>14423.52591914294</v>
      </c>
      <c r="N42" s="4">
        <v>14717.15955796101</v>
      </c>
      <c r="O42" s="4">
        <v>14850.74636838754</v>
      </c>
      <c r="P42" s="4">
        <v>14818.37926499333</v>
      </c>
      <c r="Q42" s="4">
        <v>14621.49676532205</v>
      </c>
      <c r="R42" s="4">
        <v>14268.7488578514</v>
      </c>
      <c r="S42" s="4">
        <v>13775.20275016446</v>
      </c>
      <c r="T42" s="4">
        <v>13161.01109253391</v>
      </c>
      <c r="U42" s="4">
        <v>12449.73855243629</v>
      </c>
      <c r="V42" s="4">
        <v>11666.57339157903</v>
      </c>
      <c r="W42" s="4">
        <v>10836.63725716912</v>
      </c>
      <c r="X42" s="4">
        <v>9983.558438188804</v>
      </c>
      <c r="Y42" s="4">
        <v>9128.407649942616</v>
      </c>
      <c r="Z42" s="4">
        <v>8289.027954763791</v>
      </c>
      <c r="AA42" s="4">
        <v>7479.734654679487</v>
      </c>
      <c r="AB42" s="4">
        <v>6711.323687748692</v>
      </c>
      <c r="AC42" s="4">
        <v>5991.309115664801</v>
      </c>
      <c r="AD42" s="4">
        <v>5324.308487036498</v>
      </c>
      <c r="AE42" s="4">
        <v>4712.504063337867</v>
      </c>
      <c r="AF42" s="4">
        <v>4156.122868041391</v>
      </c>
      <c r="AG42" s="4">
        <v>3653.895029873878</v>
      </c>
      <c r="AH42" s="4">
        <v>3203.465114287974</v>
      </c>
      <c r="AI42" s="4">
        <v>2801.7435863071</v>
      </c>
      <c r="AJ42" s="4">
        <v>2445.194759177684</v>
      </c>
      <c r="AK42" s="4">
        <v>2130.063745495339</v>
      </c>
      <c r="AL42" s="4">
        <v>1852.548561829608</v>
      </c>
      <c r="AM42" s="4">
        <v>1608.925269072293</v>
      </c>
      <c r="AN42" s="4">
        <v>1395.634449511941</v>
      </c>
      <c r="AO42" s="4">
        <v>1209.33691817167</v>
      </c>
      <c r="AP42" s="4">
        <v>1046.945710932079</v>
      </c>
      <c r="AQ42" s="4">
        <v>905.640344376734</v>
      </c>
      <c r="AR42" s="4">
        <v>782.868269121449</v>
      </c>
      <c r="AS42" s="4">
        <v>676.3374373281258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</row>
    <row r="43" spans="1:85">
      <c r="A43" t="s">
        <v>75</v>
      </c>
      <c r="B43" s="4">
        <v>64775.81227313697</v>
      </c>
      <c r="C43" s="4">
        <v>8933.101778343429</v>
      </c>
      <c r="D43" s="4">
        <v>9927.519464124562</v>
      </c>
      <c r="E43" s="4">
        <v>10966.87482103304</v>
      </c>
      <c r="F43" s="4">
        <v>12035.32366346552</v>
      </c>
      <c r="G43" s="4">
        <v>13112.54760033263</v>
      </c>
      <c r="H43" s="4">
        <v>14173.93245169419</v>
      </c>
      <c r="I43" s="4">
        <v>15191.17893069735</v>
      </c>
      <c r="J43" s="4">
        <v>16133.40176816529</v>
      </c>
      <c r="K43" s="4">
        <v>16968.71396375913</v>
      </c>
      <c r="L43" s="4">
        <v>17666.21353017737</v>
      </c>
      <c r="M43" s="4">
        <v>18198.20362844548</v>
      </c>
      <c r="N43" s="4">
        <v>18542.40282101129</v>
      </c>
      <c r="O43" s="4">
        <v>18683.86208330785</v>
      </c>
      <c r="P43" s="4">
        <v>18616.31633946794</v>
      </c>
      <c r="Q43" s="4">
        <v>18342.76593029295</v>
      </c>
      <c r="R43" s="4">
        <v>17875.19705612981</v>
      </c>
      <c r="S43" s="4">
        <v>17233.48513753264</v>
      </c>
      <c r="T43" s="4">
        <v>16443.64960413385</v>
      </c>
      <c r="U43" s="4">
        <v>15535.71461939119</v>
      </c>
      <c r="V43" s="4">
        <v>14541.46160150965</v>
      </c>
      <c r="W43" s="4">
        <v>13492.33599994058</v>
      </c>
      <c r="X43" s="4">
        <v>12417.70629196486</v>
      </c>
      <c r="Y43" s="4">
        <v>11343.58858456218</v>
      </c>
      <c r="Z43" s="4">
        <v>10291.86649493972</v>
      </c>
      <c r="AA43" s="4">
        <v>9279.968512545631</v>
      </c>
      <c r="AB43" s="4">
        <v>8320.921325273579</v>
      </c>
      <c r="AC43" s="4">
        <v>7423.677932479593</v>
      </c>
      <c r="AD43" s="4">
        <v>6593.61925797147</v>
      </c>
      <c r="AE43" s="4">
        <v>5833.140832223988</v>
      </c>
      <c r="AF43" s="4">
        <v>5142.255455139268</v>
      </c>
      <c r="AG43" s="4">
        <v>4519.163468152808</v>
      </c>
      <c r="AH43" s="4">
        <v>3960.761035608593</v>
      </c>
      <c r="AI43" s="4">
        <v>3463.071980644483</v>
      </c>
      <c r="AJ43" s="4">
        <v>3021.599788099935</v>
      </c>
      <c r="AK43" s="4">
        <v>2631.603687503259</v>
      </c>
      <c r="AL43" s="4">
        <v>2288.306948673911</v>
      </c>
      <c r="AM43" s="4">
        <v>1987.047448641388</v>
      </c>
      <c r="AN43" s="4">
        <v>1723.380931256688</v>
      </c>
      <c r="AO43" s="4">
        <v>1493.146777661226</v>
      </c>
      <c r="AP43" s="4">
        <v>1292.504983902851</v>
      </c>
      <c r="AQ43" s="4">
        <v>1117.951710691559</v>
      </c>
      <c r="AR43" s="4">
        <v>966.3194268828956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spans="1:85">
      <c r="A44" t="s">
        <v>76</v>
      </c>
      <c r="B44" s="4">
        <v>94901.23770798896</v>
      </c>
      <c r="C44" s="4">
        <v>12572.02935410812</v>
      </c>
      <c r="D44" s="4">
        <v>13831.42539766713</v>
      </c>
      <c r="E44" s="4">
        <v>15110.74337790445</v>
      </c>
      <c r="F44" s="4">
        <v>16382.55777783238</v>
      </c>
      <c r="G44" s="4">
        <v>17614.73217352241</v>
      </c>
      <c r="H44" s="4">
        <v>18771.50790090312</v>
      </c>
      <c r="I44" s="4">
        <v>19815.18056074539</v>
      </c>
      <c r="J44" s="4">
        <v>20708.30282902854</v>
      </c>
      <c r="K44" s="4">
        <v>21416.25008568776</v>
      </c>
      <c r="L44" s="4">
        <v>21909.88884593398</v>
      </c>
      <c r="M44" s="4">
        <v>22168.02259052871</v>
      </c>
      <c r="N44" s="4">
        <v>22179.27879246738</v>
      </c>
      <c r="O44" s="4">
        <v>21943.15703505941</v>
      </c>
      <c r="P44" s="4">
        <v>21470.07569076907</v>
      </c>
      <c r="Q44" s="4">
        <v>20780.40981327748</v>
      </c>
      <c r="R44" s="4">
        <v>19902.66980886238</v>
      </c>
      <c r="S44" s="4">
        <v>18871.09265519876</v>
      </c>
      <c r="T44" s="4">
        <v>17722.97960676829</v>
      </c>
      <c r="U44" s="4">
        <v>16496.10930066468</v>
      </c>
      <c r="V44" s="4">
        <v>15226.49386434612</v>
      </c>
      <c r="W44" s="4">
        <v>13946.65082839556</v>
      </c>
      <c r="X44" s="4">
        <v>12684.4612219655</v>
      </c>
      <c r="Y44" s="4">
        <v>11462.59541198588</v>
      </c>
      <c r="Z44" s="4">
        <v>10298.42546851223</v>
      </c>
      <c r="AA44" s="4">
        <v>9204.309354027093</v>
      </c>
      <c r="AB44" s="4">
        <v>8188.124405090581</v>
      </c>
      <c r="AC44" s="4">
        <v>7253.938130340772</v>
      </c>
      <c r="AD44" s="4">
        <v>6402.725309495348</v>
      </c>
      <c r="AE44" s="4">
        <v>5633.064967471058</v>
      </c>
      <c r="AF44" s="4">
        <v>4941.774279830861</v>
      </c>
      <c r="AG44" s="4">
        <v>4324.456174420891</v>
      </c>
      <c r="AH44" s="4">
        <v>3775.952320836484</v>
      </c>
      <c r="AI44" s="4">
        <v>3290.703440857353</v>
      </c>
      <c r="AJ44" s="4">
        <v>2863.025125594344</v>
      </c>
      <c r="AK44" s="4">
        <v>2487.310528900824</v>
      </c>
      <c r="AL44" s="4">
        <v>2158.172328959219</v>
      </c>
      <c r="AM44" s="4">
        <v>1870.535984155838</v>
      </c>
      <c r="AN44" s="4">
        <v>1619.695152117522</v>
      </c>
      <c r="AO44" s="4">
        <v>1401.338616819819</v>
      </c>
      <c r="AP44" s="4">
        <v>1211.55645742279</v>
      </c>
      <c r="AQ44" s="4">
        <v>1046.831661699456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spans="1:85">
      <c r="A45" t="s">
        <v>77</v>
      </c>
      <c r="B45" s="4">
        <v>18693.87412419268</v>
      </c>
      <c r="C45" s="4">
        <v>2594.721544105767</v>
      </c>
      <c r="D45" s="4">
        <v>2888.341598593553</v>
      </c>
      <c r="E45" s="4">
        <v>3196.599963753753</v>
      </c>
      <c r="F45" s="4">
        <v>3515.135599780911</v>
      </c>
      <c r="G45" s="4">
        <v>3838.250329706771</v>
      </c>
      <c r="H45" s="4">
        <v>4158.928885481284</v>
      </c>
      <c r="I45" s="4">
        <v>4468.98129647215</v>
      </c>
      <c r="J45" s="4">
        <v>4759.328356519065</v>
      </c>
      <c r="K45" s="4">
        <v>5020.435195475293</v>
      </c>
      <c r="L45" s="4">
        <v>5242.875660490397</v>
      </c>
      <c r="M45" s="4">
        <v>5417.98437314359</v>
      </c>
      <c r="N45" s="4">
        <v>5538.5292967266</v>
      </c>
      <c r="O45" s="4">
        <v>5599.321946205571</v>
      </c>
      <c r="P45" s="4">
        <v>5597.680794524538</v>
      </c>
      <c r="Q45" s="4">
        <v>5533.678803146977</v>
      </c>
      <c r="R45" s="4">
        <v>5410.136616112533</v>
      </c>
      <c r="S45" s="4">
        <v>5232.362488926097</v>
      </c>
      <c r="T45" s="4">
        <v>5007.679303309546</v>
      </c>
      <c r="U45" s="4">
        <v>4744.808955473593</v>
      </c>
      <c r="V45" s="4">
        <v>4453.198894231609</v>
      </c>
      <c r="W45" s="4">
        <v>4142.373164590317</v>
      </c>
      <c r="X45" s="4">
        <v>3821.374016449234</v>
      </c>
      <c r="Y45" s="4">
        <v>3498.335853961064</v>
      </c>
      <c r="Z45" s="4">
        <v>3180.207530679807</v>
      </c>
      <c r="AA45" s="4">
        <v>2872.616964803063</v>
      </c>
      <c r="AB45" s="4">
        <v>2579.856723454708</v>
      </c>
      <c r="AC45" s="4">
        <v>2304.961278694449</v>
      </c>
      <c r="AD45" s="4">
        <v>2049.845058793784</v>
      </c>
      <c r="AE45" s="4">
        <v>1815.473335968534</v>
      </c>
      <c r="AF45" s="4">
        <v>1602.043400474475</v>
      </c>
      <c r="AG45" s="4">
        <v>1409.159692539979</v>
      </c>
      <c r="AH45" s="4">
        <v>1235.992441068491</v>
      </c>
      <c r="AI45" s="4">
        <v>1081.414252363</v>
      </c>
      <c r="AJ45" s="4">
        <v>944.1127732499153</v>
      </c>
      <c r="AK45" s="4">
        <v>822.680060013372</v>
      </c>
      <c r="AL45" s="4">
        <v>715.6808000521269</v>
      </c>
      <c r="AM45" s="4">
        <v>621.7022908047365</v>
      </c>
      <c r="AN45" s="4">
        <v>539.3893076620298</v>
      </c>
      <c r="AO45" s="4">
        <v>467.4668815251789</v>
      </c>
      <c r="AP45" s="4">
        <v>404.7537048115628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</row>
    <row r="46" spans="1:85">
      <c r="A46" t="s">
        <v>78</v>
      </c>
      <c r="B46" s="4">
        <v>62195.69542857436</v>
      </c>
      <c r="C46" s="4">
        <v>8581.30446417255</v>
      </c>
      <c r="D46" s="4">
        <v>9537.704821652471</v>
      </c>
      <c r="E46" s="4">
        <v>10537.64927576382</v>
      </c>
      <c r="F46" s="4">
        <v>11565.97311426842</v>
      </c>
      <c r="G46" s="4">
        <v>12603.20400610288</v>
      </c>
      <c r="H46" s="4">
        <v>13625.72584793622</v>
      </c>
      <c r="I46" s="4">
        <v>14606.35721445766</v>
      </c>
      <c r="J46" s="4">
        <v>15515.39946137855</v>
      </c>
      <c r="K46" s="4">
        <v>16322.15272758863</v>
      </c>
      <c r="L46" s="4">
        <v>16996.82201876113</v>
      </c>
      <c r="M46" s="4">
        <v>17512.65227031955</v>
      </c>
      <c r="N46" s="4">
        <v>17848.05940310305</v>
      </c>
      <c r="O46" s="4">
        <v>17988.48489499174</v>
      </c>
      <c r="P46" s="4">
        <v>17927.71095658722</v>
      </c>
      <c r="Q46" s="4">
        <v>17668.43742481287</v>
      </c>
      <c r="R46" s="4">
        <v>17222.03016864992</v>
      </c>
      <c r="S46" s="4">
        <v>16607.48056159593</v>
      </c>
      <c r="T46" s="4">
        <v>15849.73603301303</v>
      </c>
      <c r="U46" s="4">
        <v>14977.64550899423</v>
      </c>
      <c r="V46" s="4">
        <v>14021.79490944376</v>
      </c>
      <c r="W46" s="4">
        <v>13012.48635445902</v>
      </c>
      <c r="X46" s="4">
        <v>11978.05327572895</v>
      </c>
      <c r="Y46" s="4">
        <v>10943.62238245731</v>
      </c>
      <c r="Z46" s="4">
        <v>9930.352635387739</v>
      </c>
      <c r="AA46" s="4">
        <v>8955.115987076599</v>
      </c>
      <c r="AB46" s="4">
        <v>8030.5420435532</v>
      </c>
      <c r="AC46" s="4">
        <v>7165.329416338995</v>
      </c>
      <c r="AD46" s="4">
        <v>6364.726092895959</v>
      </c>
      <c r="AE46" s="4">
        <v>5631.093335257436</v>
      </c>
      <c r="AF46" s="4">
        <v>4964.486164267117</v>
      </c>
      <c r="AG46" s="4">
        <v>4363.203445372055</v>
      </c>
      <c r="AH46" s="4">
        <v>3824.278726592835</v>
      </c>
      <c r="AI46" s="4">
        <v>3343.897643359203</v>
      </c>
      <c r="AJ46" s="4">
        <v>2917.738442600938</v>
      </c>
      <c r="AK46" s="4">
        <v>2541.239278281864</v>
      </c>
      <c r="AL46" s="4">
        <v>2209.80004812486</v>
      </c>
      <c r="AM46" s="4">
        <v>1918.928434924397</v>
      </c>
      <c r="AN46" s="4">
        <v>1664.340190419345</v>
      </c>
      <c r="AO46" s="4">
        <v>1442.023133644252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spans="1:85">
      <c r="A47" t="s">
        <v>79</v>
      </c>
      <c r="B47" s="4">
        <v>59651.3648274091</v>
      </c>
      <c r="C47" s="4">
        <v>8118.191155613626</v>
      </c>
      <c r="D47" s="4">
        <v>8991.582268137849</v>
      </c>
      <c r="E47" s="4">
        <v>9896.050572355773</v>
      </c>
      <c r="F47" s="4">
        <v>10815.85498487201</v>
      </c>
      <c r="G47" s="4">
        <v>11731.47733797549</v>
      </c>
      <c r="H47" s="4">
        <v>12619.97937409053</v>
      </c>
      <c r="I47" s="4">
        <v>13455.76180871973</v>
      </c>
      <c r="J47" s="4">
        <v>14211.74666694252</v>
      </c>
      <c r="K47" s="4">
        <v>14860.94258056255</v>
      </c>
      <c r="L47" s="4">
        <v>15378.27967995443</v>
      </c>
      <c r="M47" s="4">
        <v>15742.53058675514</v>
      </c>
      <c r="N47" s="4">
        <v>15938.08521837008</v>
      </c>
      <c r="O47" s="4">
        <v>15956.33678168833</v>
      </c>
      <c r="P47" s="4">
        <v>15796.47392353936</v>
      </c>
      <c r="Q47" s="4">
        <v>15465.55640671251</v>
      </c>
      <c r="R47" s="4">
        <v>14977.86240102205</v>
      </c>
      <c r="S47" s="4">
        <v>14353.60900440632</v>
      </c>
      <c r="T47" s="4">
        <v>13617.23751099542</v>
      </c>
      <c r="U47" s="4">
        <v>12795.50237780029</v>
      </c>
      <c r="V47" s="4">
        <v>11915.60186705599</v>
      </c>
      <c r="W47" s="4">
        <v>11003.54615343583</v>
      </c>
      <c r="X47" s="4">
        <v>10082.89136363653</v>
      </c>
      <c r="Y47" s="4">
        <v>9173.894200355222</v>
      </c>
      <c r="Z47" s="4">
        <v>8293.077063271601</v>
      </c>
      <c r="AA47" s="4">
        <v>7453.147245358734</v>
      </c>
      <c r="AB47" s="4">
        <v>6663.188538502203</v>
      </c>
      <c r="AC47" s="4">
        <v>5929.037030695181</v>
      </c>
      <c r="AD47" s="4">
        <v>5253.759875576885</v>
      </c>
      <c r="AE47" s="4">
        <v>4638.170608778426</v>
      </c>
      <c r="AF47" s="4">
        <v>4081.332228885673</v>
      </c>
      <c r="AG47" s="4">
        <v>3581.016259366239</v>
      </c>
      <c r="AH47" s="4">
        <v>3134.100365628488</v>
      </c>
      <c r="AI47" s="4">
        <v>2736.898036072555</v>
      </c>
      <c r="AJ47" s="4">
        <v>2385.421382325178</v>
      </c>
      <c r="AK47" s="4">
        <v>2075.582756510528</v>
      </c>
      <c r="AL47" s="4">
        <v>1803.343280385132</v>
      </c>
      <c r="AM47" s="4">
        <v>1564.817188661138</v>
      </c>
      <c r="AN47" s="4">
        <v>1356.340669656231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spans="1:85">
      <c r="A48" t="s">
        <v>80</v>
      </c>
      <c r="B48" s="4">
        <v>56389.84515943409</v>
      </c>
      <c r="C48" s="4">
        <v>7509.003920073963</v>
      </c>
      <c r="D48" s="4">
        <v>8271.753590953937</v>
      </c>
      <c r="E48" s="4">
        <v>9049.484294344002</v>
      </c>
      <c r="F48" s="4">
        <v>9826.097690486014</v>
      </c>
      <c r="G48" s="4">
        <v>10582.54032706756</v>
      </c>
      <c r="H48" s="4">
        <v>11297.39793666464</v>
      </c>
      <c r="I48" s="4">
        <v>11947.84832089984</v>
      </c>
      <c r="J48" s="4">
        <v>12510.94654937285</v>
      </c>
      <c r="K48" s="4">
        <v>12965.15508233904</v>
      </c>
      <c r="L48" s="4">
        <v>13291.97085118524</v>
      </c>
      <c r="M48" s="4">
        <v>13477.45664512776</v>
      </c>
      <c r="N48" s="4">
        <v>13513.47031799037</v>
      </c>
      <c r="O48" s="4">
        <v>13398.41153325877</v>
      </c>
      <c r="P48" s="4">
        <v>13137.3709538501</v>
      </c>
      <c r="Q48" s="4">
        <v>12741.65841062248</v>
      </c>
      <c r="R48" s="4">
        <v>12227.78373321224</v>
      </c>
      <c r="S48" s="4">
        <v>11616.0438833615</v>
      </c>
      <c r="T48" s="4">
        <v>10928.91562278135</v>
      </c>
      <c r="U48" s="4">
        <v>10189.45755111723</v>
      </c>
      <c r="V48" s="4">
        <v>9419.893690001918</v>
      </c>
      <c r="W48" s="4">
        <v>8640.495757357334</v>
      </c>
      <c r="X48" s="4">
        <v>7868.818669697386</v>
      </c>
      <c r="Y48" s="4">
        <v>7119.287373203202</v>
      </c>
      <c r="Z48" s="4">
        <v>6403.091518730798</v>
      </c>
      <c r="AA48" s="4">
        <v>5728.320746879617</v>
      </c>
      <c r="AB48" s="4">
        <v>5100.265879916609</v>
      </c>
      <c r="AC48" s="4">
        <v>4521.815974148049</v>
      </c>
      <c r="AD48" s="4">
        <v>3993.893082235649</v>
      </c>
      <c r="AE48" s="4">
        <v>3515.881385153567</v>
      </c>
      <c r="AF48" s="4">
        <v>3086.021942012419</v>
      </c>
      <c r="AG48" s="4">
        <v>2701.756821275398</v>
      </c>
      <c r="AH48" s="4">
        <v>2360.016036342364</v>
      </c>
      <c r="AI48" s="4">
        <v>2057.447467214719</v>
      </c>
      <c r="AJ48" s="4">
        <v>1790.594182200963</v>
      </c>
      <c r="AK48" s="4">
        <v>1556.02582697192</v>
      </c>
      <c r="AL48" s="4">
        <v>1350.431584287086</v>
      </c>
      <c r="AM48" s="4">
        <v>1170.682116021926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spans="1:85">
      <c r="A49" t="s">
        <v>81</v>
      </c>
      <c r="B49" s="4">
        <v>94487.9585464663</v>
      </c>
      <c r="C49" s="4">
        <v>12549.69064018932</v>
      </c>
      <c r="D49" s="4">
        <v>13815.63456565194</v>
      </c>
      <c r="E49" s="4">
        <v>15104.02367316058</v>
      </c>
      <c r="F49" s="4">
        <v>16387.71062962082</v>
      </c>
      <c r="G49" s="4">
        <v>17634.72664259607</v>
      </c>
      <c r="H49" s="4">
        <v>18809.32206412693</v>
      </c>
      <c r="I49" s="4">
        <v>19873.60034856375</v>
      </c>
      <c r="J49" s="4">
        <v>20789.69263653024</v>
      </c>
      <c r="K49" s="4">
        <v>21522.31818460487</v>
      </c>
      <c r="L49" s="4">
        <v>22041.47697899086</v>
      </c>
      <c r="M49" s="4">
        <v>22324.95085409202</v>
      </c>
      <c r="N49" s="4">
        <v>22360.27251962078</v>
      </c>
      <c r="O49" s="4">
        <v>22145.87191257748</v>
      </c>
      <c r="P49" s="4">
        <v>21691.22262395237</v>
      </c>
      <c r="Q49" s="4">
        <v>21015.96535726782</v>
      </c>
      <c r="R49" s="4">
        <v>20148.14500895806</v>
      </c>
      <c r="S49" s="4">
        <v>19121.82580348512</v>
      </c>
      <c r="T49" s="4">
        <v>17974.41797315044</v>
      </c>
      <c r="U49" s="4">
        <v>16744.05066156585</v>
      </c>
      <c r="V49" s="4">
        <v>15467.268497098</v>
      </c>
      <c r="W49" s="4">
        <v>14177.23583321838</v>
      </c>
      <c r="X49" s="4">
        <v>12902.5291280704</v>
      </c>
      <c r="Y49" s="4">
        <v>11666.50642719842</v>
      </c>
      <c r="Z49" s="4">
        <v>10487.17686560255</v>
      </c>
      <c r="AA49" s="4">
        <v>9377.456613369985</v>
      </c>
      <c r="AB49" s="4">
        <v>8345.687611683388</v>
      </c>
      <c r="AC49" s="4">
        <v>7396.304666636861</v>
      </c>
      <c r="AD49" s="4">
        <v>6530.556912264321</v>
      </c>
      <c r="AE49" s="4">
        <v>5747.214324946748</v>
      </c>
      <c r="AF49" s="4">
        <v>5043.213888189523</v>
      </c>
      <c r="AG49" s="4">
        <v>4414.220297230408</v>
      </c>
      <c r="AH49" s="4">
        <v>3855.091604771791</v>
      </c>
      <c r="AI49" s="4">
        <v>3360.250956883188</v>
      </c>
      <c r="AJ49" s="4">
        <v>2923.972214511712</v>
      </c>
      <c r="AK49" s="4">
        <v>2540.590719043044</v>
      </c>
      <c r="AL49" s="4">
        <v>2204.651662498713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spans="1:85">
      <c r="A50" t="s">
        <v>82</v>
      </c>
      <c r="B50" s="4">
        <v>27872.54606596201</v>
      </c>
      <c r="C50" s="4">
        <v>3733.492659213138</v>
      </c>
      <c r="D50" s="4">
        <v>4118.736329232739</v>
      </c>
      <c r="E50" s="4">
        <v>4513.215074278851</v>
      </c>
      <c r="F50" s="4">
        <v>4909.10304209793</v>
      </c>
      <c r="G50" s="4">
        <v>5297.027831168409</v>
      </c>
      <c r="H50" s="4">
        <v>5666.332686171445</v>
      </c>
      <c r="I50" s="4">
        <v>6005.520278660493</v>
      </c>
      <c r="J50" s="4">
        <v>6302.87107832796</v>
      </c>
      <c r="K50" s="4">
        <v>6547.199079316604</v>
      </c>
      <c r="L50" s="4">
        <v>6728.676139652307</v>
      </c>
      <c r="M50" s="4">
        <v>6839.630938942559</v>
      </c>
      <c r="N50" s="4">
        <v>6875.2174439542</v>
      </c>
      <c r="O50" s="4">
        <v>6833.856360614896</v>
      </c>
      <c r="P50" s="4">
        <v>6717.382107054058</v>
      </c>
      <c r="Q50" s="4">
        <v>6530.872239908524</v>
      </c>
      <c r="R50" s="4">
        <v>6282.186078311934</v>
      </c>
      <c r="S50" s="4">
        <v>5981.282812206744</v>
      </c>
      <c r="T50" s="4">
        <v>5639.417001765236</v>
      </c>
      <c r="U50" s="4">
        <v>5268.316381503741</v>
      </c>
      <c r="V50" s="4">
        <v>4879.434462500678</v>
      </c>
      <c r="W50" s="4">
        <v>4483.344417099113</v>
      </c>
      <c r="X50" s="4">
        <v>4089.309077171521</v>
      </c>
      <c r="Y50" s="4">
        <v>3705.031980414642</v>
      </c>
      <c r="Z50" s="4">
        <v>3336.571322064789</v>
      </c>
      <c r="AA50" s="4">
        <v>2988.3845546144</v>
      </c>
      <c r="AB50" s="4">
        <v>2663.465872721252</v>
      </c>
      <c r="AC50" s="4">
        <v>2363.540019393637</v>
      </c>
      <c r="AD50" s="4">
        <v>2089.281281409523</v>
      </c>
      <c r="AE50" s="4">
        <v>1840.533903769159</v>
      </c>
      <c r="AF50" s="4">
        <v>1616.517701917532</v>
      </c>
      <c r="AG50" s="4">
        <v>1416.009303810977</v>
      </c>
      <c r="AH50" s="4">
        <v>1237.494705333345</v>
      </c>
      <c r="AI50" s="4">
        <v>1079.292580045148</v>
      </c>
      <c r="AJ50" s="4">
        <v>939.6502026280505</v>
      </c>
      <c r="AK50" s="4">
        <v>816.8151919546945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spans="1:85">
      <c r="A51" t="s">
        <v>83</v>
      </c>
      <c r="B51" s="4">
        <v>47495.40601087923</v>
      </c>
      <c r="C51" s="4">
        <v>6530.274372704596</v>
      </c>
      <c r="D51" s="4">
        <v>7251.624501938953</v>
      </c>
      <c r="E51" s="4">
        <v>8003.997277272087</v>
      </c>
      <c r="F51" s="4">
        <v>8775.545274304997</v>
      </c>
      <c r="G51" s="4">
        <v>9551.198988122705</v>
      </c>
      <c r="H51" s="4">
        <v>10312.83390266119</v>
      </c>
      <c r="I51" s="4">
        <v>11039.75630619616</v>
      </c>
      <c r="J51" s="4">
        <v>11709.54356072677</v>
      </c>
      <c r="K51" s="4">
        <v>12299.22942391451</v>
      </c>
      <c r="L51" s="4">
        <v>12786.76652424771</v>
      </c>
      <c r="M51" s="4">
        <v>13152.63609008695</v>
      </c>
      <c r="N51" s="4">
        <v>13381.42400805608</v>
      </c>
      <c r="O51" s="4">
        <v>13463.15779986835</v>
      </c>
      <c r="P51" s="4">
        <v>13394.21262511692</v>
      </c>
      <c r="Q51" s="4">
        <v>13177.64831788416</v>
      </c>
      <c r="R51" s="4">
        <v>12822.92461670967</v>
      </c>
      <c r="S51" s="4">
        <v>12345.03928603258</v>
      </c>
      <c r="T51" s="4">
        <v>11763.22087326326</v>
      </c>
      <c r="U51" s="4">
        <v>11099.36492594768</v>
      </c>
      <c r="V51" s="4">
        <v>10376.41951575037</v>
      </c>
      <c r="W51" s="4">
        <v>9616.90431886958</v>
      </c>
      <c r="X51" s="4">
        <v>8841.698151807766</v>
      </c>
      <c r="Y51" s="4">
        <v>8069.168186809693</v>
      </c>
      <c r="Z51" s="4">
        <v>7314.654810745793</v>
      </c>
      <c r="AA51" s="4">
        <v>6590.279599777889</v>
      </c>
      <c r="AB51" s="4">
        <v>5905.014804712788</v>
      </c>
      <c r="AC51" s="4">
        <v>5264.940718499944</v>
      </c>
      <c r="AD51" s="4">
        <v>4673.618766163883</v>
      </c>
      <c r="AE51" s="4">
        <v>4132.518306493352</v>
      </c>
      <c r="AF51" s="4">
        <v>3641.449390650087</v>
      </c>
      <c r="AG51" s="4">
        <v>3198.968570991419</v>
      </c>
      <c r="AH51" s="4">
        <v>2802.738072586595</v>
      </c>
      <c r="AI51" s="4">
        <v>2449.829158942739</v>
      </c>
      <c r="AJ51" s="4">
        <v>2136.968109532783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spans="1:85">
      <c r="A52" t="s">
        <v>84</v>
      </c>
      <c r="B52" s="4">
        <v>80714.45458987965</v>
      </c>
      <c r="C52" s="4">
        <v>10692.39457912467</v>
      </c>
      <c r="D52" s="4">
        <v>11763.43371497559</v>
      </c>
      <c r="E52" s="4">
        <v>12851.39726550881</v>
      </c>
      <c r="F52" s="4">
        <v>13932.95841459798</v>
      </c>
      <c r="G52" s="4">
        <v>14980.78465822223</v>
      </c>
      <c r="H52" s="4">
        <v>15964.46404578519</v>
      </c>
      <c r="I52" s="4">
        <v>16851.93132105932</v>
      </c>
      <c r="J52" s="4">
        <v>17611.34156514457</v>
      </c>
      <c r="K52" s="4">
        <v>18213.25223549688</v>
      </c>
      <c r="L52" s="4">
        <v>18632.89241771586</v>
      </c>
      <c r="M52" s="4">
        <v>18852.24253080133</v>
      </c>
      <c r="N52" s="4">
        <v>18861.63858782337</v>
      </c>
      <c r="O52" s="4">
        <v>18660.6628682497</v>
      </c>
      <c r="P52" s="4">
        <v>18258.18288292404</v>
      </c>
      <c r="Q52" s="4">
        <v>17671.53249836579</v>
      </c>
      <c r="R52" s="4">
        <v>16924.96251727612</v>
      </c>
      <c r="S52" s="4">
        <v>16047.59189981577</v>
      </c>
      <c r="T52" s="4">
        <v>15071.14363438002</v>
      </c>
      <c r="U52" s="4">
        <v>14027.74494727451</v>
      </c>
      <c r="V52" s="4">
        <v>12948.01936678763</v>
      </c>
      <c r="W52" s="4">
        <v>11859.61752415338</v>
      </c>
      <c r="X52" s="4">
        <v>10786.24647223909</v>
      </c>
      <c r="Y52" s="4">
        <v>9747.181786513829</v>
      </c>
      <c r="Z52" s="4">
        <v>8757.193345136067</v>
      </c>
      <c r="AA52" s="4">
        <v>7826.787229135633</v>
      </c>
      <c r="AB52" s="4">
        <v>6962.659541198111</v>
      </c>
      <c r="AC52" s="4">
        <v>6168.266928414872</v>
      </c>
      <c r="AD52" s="4">
        <v>5444.436424485175</v>
      </c>
      <c r="AE52" s="4">
        <v>4789.958138887305</v>
      </c>
      <c r="AF52" s="4">
        <v>4202.1242882355</v>
      </c>
      <c r="AG52" s="4">
        <v>3677.194822489808</v>
      </c>
      <c r="AH52" s="4">
        <v>3210.782589281036</v>
      </c>
      <c r="AI52" s="4">
        <v>2798.159686066152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spans="1:85">
      <c r="A53" t="s">
        <v>85</v>
      </c>
      <c r="B53" s="4">
        <v>71428.50068963518</v>
      </c>
      <c r="C53" s="4">
        <v>9797.489536312874</v>
      </c>
      <c r="D53" s="4">
        <v>10873.1300831619</v>
      </c>
      <c r="E53" s="4">
        <v>11993.16911281264</v>
      </c>
      <c r="F53" s="4">
        <v>13139.52924036696</v>
      </c>
      <c r="G53" s="4">
        <v>14289.35953150442</v>
      </c>
      <c r="H53" s="4">
        <v>15415.32911474403</v>
      </c>
      <c r="I53" s="4">
        <v>16486.40160344122</v>
      </c>
      <c r="J53" s="4">
        <v>17469.13745271409</v>
      </c>
      <c r="K53" s="4">
        <v>18329.50193475801</v>
      </c>
      <c r="L53" s="4">
        <v>19035.06825520468</v>
      </c>
      <c r="M53" s="4">
        <v>19557.41397523589</v>
      </c>
      <c r="N53" s="4">
        <v>19874.43629747158</v>
      </c>
      <c r="O53" s="4">
        <v>19972.28075316118</v>
      </c>
      <c r="P53" s="4">
        <v>19846.60429733951</v>
      </c>
      <c r="Q53" s="4">
        <v>19502.97958301747</v>
      </c>
      <c r="R53" s="4">
        <v>18956.37694323238</v>
      </c>
      <c r="S53" s="4">
        <v>18229.80527119437</v>
      </c>
      <c r="T53" s="4">
        <v>17352.31862425036</v>
      </c>
      <c r="U53" s="4">
        <v>16356.6742217883</v>
      </c>
      <c r="V53" s="4">
        <v>15276.94635156658</v>
      </c>
      <c r="W53" s="4">
        <v>14146.36339088023</v>
      </c>
      <c r="X53" s="4">
        <v>12995.55889810488</v>
      </c>
      <c r="Y53" s="4">
        <v>11851.33566379943</v>
      </c>
      <c r="Z53" s="4">
        <v>10735.95510895189</v>
      </c>
      <c r="AA53" s="4">
        <v>9666.897984247131</v>
      </c>
      <c r="AB53" s="4">
        <v>8657.001978728629</v>
      </c>
      <c r="AC53" s="4">
        <v>7714.866415815486</v>
      </c>
      <c r="AD53" s="4">
        <v>6845.418091100873</v>
      </c>
      <c r="AE53" s="4">
        <v>6050.5483009686</v>
      </c>
      <c r="AF53" s="4">
        <v>5329.752564112539</v>
      </c>
      <c r="AG53" s="4">
        <v>4680.726433541102</v>
      </c>
      <c r="AH53" s="4">
        <v>4099.890035316464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spans="1:85">
      <c r="A54" t="s">
        <v>86</v>
      </c>
      <c r="B54" s="4">
        <v>32368.2251641345</v>
      </c>
      <c r="C54" s="4">
        <v>4254.031499345532</v>
      </c>
      <c r="D54" s="4">
        <v>4671.083809874865</v>
      </c>
      <c r="E54" s="4">
        <v>5092.273152980815</v>
      </c>
      <c r="F54" s="4">
        <v>5508.106195781402</v>
      </c>
      <c r="G54" s="4">
        <v>5907.622721877568</v>
      </c>
      <c r="H54" s="4">
        <v>6278.809564812778</v>
      </c>
      <c r="I54" s="4">
        <v>6609.205373779747</v>
      </c>
      <c r="J54" s="4">
        <v>6886.666603610967</v>
      </c>
      <c r="K54" s="4">
        <v>7100.23128838501</v>
      </c>
      <c r="L54" s="4">
        <v>7240.98745274097</v>
      </c>
      <c r="M54" s="4">
        <v>7302.835973873385</v>
      </c>
      <c r="N54" s="4">
        <v>7283.04028393724</v>
      </c>
      <c r="O54" s="4">
        <v>7182.480028060148</v>
      </c>
      <c r="P54" s="4">
        <v>7005.569062073278</v>
      </c>
      <c r="Q54" s="4">
        <v>6759.850687707949</v>
      </c>
      <c r="R54" s="4">
        <v>6455.332501658573</v>
      </c>
      <c r="S54" s="4">
        <v>6103.658386837022</v>
      </c>
      <c r="T54" s="4">
        <v>5717.229243707523</v>
      </c>
      <c r="U54" s="4">
        <v>5308.376502125262</v>
      </c>
      <c r="V54" s="4">
        <v>4888.668253212265</v>
      </c>
      <c r="W54" s="4">
        <v>4468.395088529884</v>
      </c>
      <c r="X54" s="4">
        <v>4056.249718257197</v>
      </c>
      <c r="Y54" s="4">
        <v>3659.18739866899</v>
      </c>
      <c r="Z54" s="4">
        <v>3282.436319371773</v>
      </c>
      <c r="AA54" s="4">
        <v>2929.618701795029</v>
      </c>
      <c r="AB54" s="4">
        <v>2602.942790909146</v>
      </c>
      <c r="AC54" s="4">
        <v>2303.430637160782</v>
      </c>
      <c r="AD54" s="4">
        <v>2031.154005441291</v>
      </c>
      <c r="AE54" s="4">
        <v>1785.458861411258</v>
      </c>
      <c r="AF54" s="4">
        <v>1565.166317501891</v>
      </c>
      <c r="AG54" s="4">
        <v>1368.743968224677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spans="1:85">
      <c r="A55" t="s">
        <v>87</v>
      </c>
      <c r="B55" s="4">
        <v>47555.42917765355</v>
      </c>
      <c r="C55" s="4">
        <v>6424.016301408898</v>
      </c>
      <c r="D55" s="4">
        <v>7101.833362190591</v>
      </c>
      <c r="E55" s="4">
        <v>7800.090849594235</v>
      </c>
      <c r="F55" s="4">
        <v>8505.825615979105</v>
      </c>
      <c r="G55" s="4">
        <v>9203.232965878953</v>
      </c>
      <c r="H55" s="4">
        <v>9874.030598355224</v>
      </c>
      <c r="I55" s="4">
        <v>10498.13986920576</v>
      </c>
      <c r="J55" s="4">
        <v>11054.68760544989</v>
      </c>
      <c r="K55" s="4">
        <v>11523.28095596322</v>
      </c>
      <c r="L55" s="4">
        <v>11885.45107974725</v>
      </c>
      <c r="M55" s="4">
        <v>12126.11117993438</v>
      </c>
      <c r="N55" s="4">
        <v>12234.84479516023</v>
      </c>
      <c r="O55" s="4">
        <v>12206.84320269097</v>
      </c>
      <c r="P55" s="4">
        <v>12043.35086005239</v>
      </c>
      <c r="Q55" s="4">
        <v>11751.54937274035</v>
      </c>
      <c r="R55" s="4">
        <v>11343.89824236141</v>
      </c>
      <c r="S55" s="4">
        <v>10837.03411970171</v>
      </c>
      <c r="T55" s="4">
        <v>10250.39035732014</v>
      </c>
      <c r="U55" s="4">
        <v>9604.723644873302</v>
      </c>
      <c r="V55" s="4">
        <v>8920.723109806655</v>
      </c>
      <c r="W55" s="4">
        <v>8217.837538608088</v>
      </c>
      <c r="X55" s="4">
        <v>7513.401772019977</v>
      </c>
      <c r="Y55" s="4">
        <v>6822.08780592843</v>
      </c>
      <c r="Z55" s="4">
        <v>6155.660313064291</v>
      </c>
      <c r="AA55" s="4">
        <v>5522.985727392661</v>
      </c>
      <c r="AB55" s="4">
        <v>4930.229396636132</v>
      </c>
      <c r="AC55" s="4">
        <v>4381.173932840116</v>
      </c>
      <c r="AD55" s="4">
        <v>3877.599538549839</v>
      </c>
      <c r="AE55" s="4">
        <v>3419.679449170188</v>
      </c>
      <c r="AF55" s="4">
        <v>3006.357232752955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</row>
    <row r="56" spans="1:85">
      <c r="A56" t="s">
        <v>88</v>
      </c>
      <c r="B56" s="4">
        <v>73216.71726621781</v>
      </c>
      <c r="C56" s="4">
        <v>9966.188837123103</v>
      </c>
      <c r="D56" s="4">
        <v>11038.90898844809</v>
      </c>
      <c r="E56" s="4">
        <v>12149.94262984912</v>
      </c>
      <c r="F56" s="4">
        <v>13279.98612552046</v>
      </c>
      <c r="G56" s="4">
        <v>14405.09354142933</v>
      </c>
      <c r="H56" s="4">
        <v>15497.11169921092</v>
      </c>
      <c r="I56" s="4">
        <v>16524.60878907188</v>
      </c>
      <c r="J56" s="4">
        <v>17454.32309260441</v>
      </c>
      <c r="K56" s="4">
        <v>18253.08294167262</v>
      </c>
      <c r="L56" s="4">
        <v>18890.05933468492</v>
      </c>
      <c r="M56" s="4">
        <v>19339.12635846654</v>
      </c>
      <c r="N56" s="4">
        <v>19581.0443224776</v>
      </c>
      <c r="O56" s="4">
        <v>19605.16738957007</v>
      </c>
      <c r="P56" s="4">
        <v>19410.42320985469</v>
      </c>
      <c r="Q56" s="4">
        <v>19005.41293843975</v>
      </c>
      <c r="R56" s="4">
        <v>18407.61589577835</v>
      </c>
      <c r="S56" s="4">
        <v>17641.82271417999</v>
      </c>
      <c r="T56" s="4">
        <v>16738.03160109988</v>
      </c>
      <c r="U56" s="4">
        <v>15729.10108286067</v>
      </c>
      <c r="V56" s="4">
        <v>14648.45183895691</v>
      </c>
      <c r="W56" s="4">
        <v>13528.05872827058</v>
      </c>
      <c r="X56" s="4">
        <v>12396.89154452767</v>
      </c>
      <c r="Y56" s="4">
        <v>11279.87232614937</v>
      </c>
      <c r="Z56" s="4">
        <v>10197.33736362756</v>
      </c>
      <c r="AA56" s="4">
        <v>9164.934922697896</v>
      </c>
      <c r="AB56" s="4">
        <v>8193.858490471554</v>
      </c>
      <c r="AC56" s="4">
        <v>7291.307146405627</v>
      </c>
      <c r="AD56" s="4">
        <v>6461.073157538136</v>
      </c>
      <c r="AE56" s="4">
        <v>5704.175024778815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spans="1:85">
      <c r="A57" t="s">
        <v>89</v>
      </c>
      <c r="B57" s="4">
        <v>21632.43282159747</v>
      </c>
      <c r="C57" s="4">
        <v>3089.67934024036</v>
      </c>
      <c r="D57" s="4">
        <v>3465.102044478022</v>
      </c>
      <c r="E57" s="4">
        <v>3866.972122028648</v>
      </c>
      <c r="F57" s="4">
        <v>4291.706956573296</v>
      </c>
      <c r="G57" s="4">
        <v>4734.026905550876</v>
      </c>
      <c r="H57" s="4">
        <v>5186.805570326796</v>
      </c>
      <c r="I57" s="4">
        <v>5641.030702759344</v>
      </c>
      <c r="J57" s="4">
        <v>6085.9188612383</v>
      </c>
      <c r="K57" s="4">
        <v>6509.219770919743</v>
      </c>
      <c r="L57" s="4">
        <v>6897.729174505403</v>
      </c>
      <c r="M57" s="4">
        <v>7238.00160085503</v>
      </c>
      <c r="N57" s="4">
        <v>7517.219691382968</v>
      </c>
      <c r="O57" s="4">
        <v>7724.140615716664</v>
      </c>
      <c r="P57" s="4">
        <v>7850.011335657196</v>
      </c>
      <c r="Q57" s="4">
        <v>7889.33206861277</v>
      </c>
      <c r="R57" s="4">
        <v>7840.357573217581</v>
      </c>
      <c r="S57" s="4">
        <v>7705.259593818424</v>
      </c>
      <c r="T57" s="4">
        <v>7489.924962339603</v>
      </c>
      <c r="U57" s="4">
        <v>7203.421005198819</v>
      </c>
      <c r="V57" s="4">
        <v>6857.209634869738</v>
      </c>
      <c r="W57" s="4">
        <v>6464.222819297313</v>
      </c>
      <c r="X57" s="4">
        <v>6037.919749109045</v>
      </c>
      <c r="Y57" s="4">
        <v>5591.43143373818</v>
      </c>
      <c r="Z57" s="4">
        <v>5136.868421119492</v>
      </c>
      <c r="AA57" s="4">
        <v>4684.83098145781</v>
      </c>
      <c r="AB57" s="4">
        <v>4244.126883790479</v>
      </c>
      <c r="AC57" s="4">
        <v>3821.675578417373</v>
      </c>
      <c r="AD57" s="4">
        <v>3422.56158156434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</row>
    <row r="58" spans="1:85">
      <c r="A58" t="s">
        <v>90</v>
      </c>
      <c r="B58" s="4">
        <v>102803.9802209412</v>
      </c>
      <c r="C58" s="4">
        <v>13459.18247158577</v>
      </c>
      <c r="D58" s="4">
        <v>14764.83828681879</v>
      </c>
      <c r="E58" s="4">
        <v>16079.69401590117</v>
      </c>
      <c r="F58" s="4">
        <v>17373.42962527892</v>
      </c>
      <c r="G58" s="4">
        <v>18611.28390922816</v>
      </c>
      <c r="H58" s="4">
        <v>19755.4296214582</v>
      </c>
      <c r="I58" s="4">
        <v>20766.93800655584</v>
      </c>
      <c r="J58" s="4">
        <v>21608.22611523606</v>
      </c>
      <c r="K58" s="4">
        <v>22245.77487559858</v>
      </c>
      <c r="L58" s="4">
        <v>22652.81694230088</v>
      </c>
      <c r="M58" s="4">
        <v>22811.64738395298</v>
      </c>
      <c r="N58" s="4">
        <v>22715.22762312414</v>
      </c>
      <c r="O58" s="4">
        <v>22367.83920727693</v>
      </c>
      <c r="P58" s="4">
        <v>21784.68504345795</v>
      </c>
      <c r="Q58" s="4">
        <v>20990.50074493478</v>
      </c>
      <c r="R58" s="4">
        <v>20017.38903133641</v>
      </c>
      <c r="S58" s="4">
        <v>18902.19179750432</v>
      </c>
      <c r="T58" s="4">
        <v>17683.74891085376</v>
      </c>
      <c r="U58" s="4">
        <v>16400.36093038169</v>
      </c>
      <c r="V58" s="4">
        <v>15087.69216142944</v>
      </c>
      <c r="W58" s="4">
        <v>13777.24663973984</v>
      </c>
      <c r="X58" s="4">
        <v>12495.44812367432</v>
      </c>
      <c r="Y58" s="4">
        <v>11263.2742426896</v>
      </c>
      <c r="Z58" s="4">
        <v>10096.34324192989</v>
      </c>
      <c r="AA58" s="4">
        <v>9005.329247105634</v>
      </c>
      <c r="AB58" s="4">
        <v>7996.582922914298</v>
      </c>
      <c r="AC58" s="4">
        <v>7072.850720518501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</row>
    <row r="59" spans="1:85">
      <c r="A59" t="s">
        <v>91</v>
      </c>
      <c r="B59" s="4">
        <v>39113.9611279553</v>
      </c>
      <c r="C59" s="4">
        <v>5485.249448857699</v>
      </c>
      <c r="D59" s="4">
        <v>6122.267659199613</v>
      </c>
      <c r="E59" s="4">
        <v>6795.777043459391</v>
      </c>
      <c r="F59" s="4">
        <v>7497.470832318286</v>
      </c>
      <c r="G59" s="4">
        <v>8216.11440773194</v>
      </c>
      <c r="H59" s="4">
        <v>8937.477594246855</v>
      </c>
      <c r="I59" s="4">
        <v>9644.509314531475</v>
      </c>
      <c r="J59" s="4">
        <v>10317.81220122991</v>
      </c>
      <c r="K59" s="4">
        <v>10936.44794618839</v>
      </c>
      <c r="L59" s="4">
        <v>11479.06112906666</v>
      </c>
      <c r="M59" s="4">
        <v>11925.25424570251</v>
      </c>
      <c r="N59" s="4">
        <v>12257.08921297113</v>
      </c>
      <c r="O59" s="4">
        <v>12460.54443417751</v>
      </c>
      <c r="P59" s="4">
        <v>12526.73594765202</v>
      </c>
      <c r="Q59" s="4">
        <v>12452.72645937325</v>
      </c>
      <c r="R59" s="4">
        <v>12241.79866760364</v>
      </c>
      <c r="S59" s="4">
        <v>11903.14998586907</v>
      </c>
      <c r="T59" s="4">
        <v>11451.05653571812</v>
      </c>
      <c r="U59" s="4">
        <v>10903.63382092788</v>
      </c>
      <c r="V59" s="4">
        <v>10281.37215789192</v>
      </c>
      <c r="W59" s="4">
        <v>9605.63807303214</v>
      </c>
      <c r="X59" s="4">
        <v>8897.310550381691</v>
      </c>
      <c r="Y59" s="4">
        <v>8175.673796121293</v>
      </c>
      <c r="Z59" s="4">
        <v>7457.63054432231</v>
      </c>
      <c r="AA59" s="4">
        <v>6757.245372720005</v>
      </c>
      <c r="AB59" s="4">
        <v>6085.585303391446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</row>
    <row r="60" spans="1:85">
      <c r="A60" t="s">
        <v>92</v>
      </c>
      <c r="B60" s="4">
        <v>42154.02462947531</v>
      </c>
      <c r="C60" s="4">
        <v>5743.450963432995</v>
      </c>
      <c r="D60" s="4">
        <v>6363.188770099376</v>
      </c>
      <c r="E60" s="4">
        <v>7005.492066124949</v>
      </c>
      <c r="F60" s="4">
        <v>7659.2987447173</v>
      </c>
      <c r="G60" s="4">
        <v>8310.855303905948</v>
      </c>
      <c r="H60" s="4">
        <v>8943.957944319845</v>
      </c>
      <c r="I60" s="4">
        <v>9540.477966276434</v>
      </c>
      <c r="J60" s="4">
        <v>10081.18831758096</v>
      </c>
      <c r="K60" s="4">
        <v>10546.86497456577</v>
      </c>
      <c r="L60" s="4">
        <v>10919.58508568894</v>
      </c>
      <c r="M60" s="4">
        <v>11184.09355429074</v>
      </c>
      <c r="N60" s="4">
        <v>11329.0740114162</v>
      </c>
      <c r="O60" s="4">
        <v>11348.15125760119</v>
      </c>
      <c r="P60" s="4">
        <v>11240.47731965472</v>
      </c>
      <c r="Q60" s="4">
        <v>11010.81053176627</v>
      </c>
      <c r="R60" s="4">
        <v>10669.07519654409</v>
      </c>
      <c r="S60" s="4">
        <v>10229.47045787136</v>
      </c>
      <c r="T60" s="4">
        <v>9709.262116323691</v>
      </c>
      <c r="U60" s="4">
        <v>9127.426469751896</v>
      </c>
      <c r="V60" s="4">
        <v>8503.316167968733</v>
      </c>
      <c r="W60" s="4">
        <v>7855.489249465405</v>
      </c>
      <c r="X60" s="4">
        <v>7200.795209331322</v>
      </c>
      <c r="Y60" s="4">
        <v>6553.759399784263</v>
      </c>
      <c r="Z60" s="4">
        <v>5926.260531406937</v>
      </c>
      <c r="AA60" s="4">
        <v>5327.462391334353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</row>
    <row r="61" spans="1:85">
      <c r="A61" t="s">
        <v>93</v>
      </c>
      <c r="B61" s="4">
        <v>62282.58870578992</v>
      </c>
      <c r="C61" s="4">
        <v>8537.838279800577</v>
      </c>
      <c r="D61" s="4">
        <v>9473.730898715861</v>
      </c>
      <c r="E61" s="4">
        <v>10447.84421839339</v>
      </c>
      <c r="F61" s="4">
        <v>11444.35988362781</v>
      </c>
      <c r="G61" s="4">
        <v>12443.31339792395</v>
      </c>
      <c r="H61" s="4">
        <v>13420.85937636177</v>
      </c>
      <c r="I61" s="4">
        <v>14349.95627989859</v>
      </c>
      <c r="J61" s="4">
        <v>15201.51026849201</v>
      </c>
      <c r="K61" s="4">
        <v>15945.95692760719</v>
      </c>
      <c r="L61" s="4">
        <v>16555.18273553296</v>
      </c>
      <c r="M61" s="4">
        <v>17004.60891904269</v>
      </c>
      <c r="N61" s="4">
        <v>17275.19795950194</v>
      </c>
      <c r="O61" s="4">
        <v>17355.11723618684</v>
      </c>
      <c r="P61" s="4">
        <v>17240.81869576062</v>
      </c>
      <c r="Q61" s="4">
        <v>16937.36920576569</v>
      </c>
      <c r="R61" s="4">
        <v>16457.97971070866</v>
      </c>
      <c r="S61" s="4">
        <v>15822.80695666262</v>
      </c>
      <c r="T61" s="4">
        <v>15057.20992001006</v>
      </c>
      <c r="U61" s="4">
        <v>14189.71029849129</v>
      </c>
      <c r="V61" s="4">
        <v>13249.92140792322</v>
      </c>
      <c r="W61" s="4">
        <v>12266.67628678185</v>
      </c>
      <c r="X61" s="4">
        <v>11266.5189240601</v>
      </c>
      <c r="Y61" s="4">
        <v>10272.64243033761</v>
      </c>
      <c r="Z61" s="4">
        <v>9304.283133575635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spans="1:85">
      <c r="A62" t="s">
        <v>94</v>
      </c>
      <c r="B62" s="4">
        <v>61680.64177041251</v>
      </c>
      <c r="C62" s="4">
        <v>8397.64963619539</v>
      </c>
      <c r="D62" s="4">
        <v>9302.025446454281</v>
      </c>
      <c r="E62" s="4">
        <v>10238.83849746734</v>
      </c>
      <c r="F62" s="4">
        <v>11191.842964357</v>
      </c>
      <c r="G62" s="4">
        <v>12140.87623765097</v>
      </c>
      <c r="H62" s="4">
        <v>13062.2224619332</v>
      </c>
      <c r="I62" s="4">
        <v>13929.39191764347</v>
      </c>
      <c r="J62" s="4">
        <v>14714.33911006356</v>
      </c>
      <c r="K62" s="4">
        <v>15389.07896842193</v>
      </c>
      <c r="L62" s="4">
        <v>15927.58495143312</v>
      </c>
      <c r="M62" s="4">
        <v>16307.77998948091</v>
      </c>
      <c r="N62" s="4">
        <v>16513.3801125469</v>
      </c>
      <c r="O62" s="4">
        <v>16535.33914121267</v>
      </c>
      <c r="P62" s="4">
        <v>16372.68094028396</v>
      </c>
      <c r="Q62" s="4">
        <v>16032.5904606269</v>
      </c>
      <c r="R62" s="4">
        <v>15529.74924100412</v>
      </c>
      <c r="S62" s="4">
        <v>14885.01886190049</v>
      </c>
      <c r="T62" s="4">
        <v>14123.66959211841</v>
      </c>
      <c r="U62" s="4">
        <v>13273.40143366484</v>
      </c>
      <c r="V62" s="4">
        <v>12362.4045573558</v>
      </c>
      <c r="W62" s="4">
        <v>11417.66298942221</v>
      </c>
      <c r="X62" s="4">
        <v>10463.63591980084</v>
      </c>
      <c r="Y62" s="4">
        <v>9521.374479680846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spans="1:85">
      <c r="A63" t="s">
        <v>95</v>
      </c>
      <c r="B63" s="4">
        <v>64479.00035219204</v>
      </c>
      <c r="C63" s="4">
        <v>8845.719826172914</v>
      </c>
      <c r="D63" s="4">
        <v>9817.280055090843</v>
      </c>
      <c r="E63" s="4">
        <v>10829.05888494017</v>
      </c>
      <c r="F63" s="4">
        <v>11864.75360169903</v>
      </c>
      <c r="G63" s="4">
        <v>12903.74781511612</v>
      </c>
      <c r="H63" s="4">
        <v>13921.3738839635</v>
      </c>
      <c r="I63" s="4">
        <v>14889.60929881208</v>
      </c>
      <c r="J63" s="4">
        <v>15778.24997363443</v>
      </c>
      <c r="K63" s="4">
        <v>16556.54080760322</v>
      </c>
      <c r="L63" s="4">
        <v>17195.16430113604</v>
      </c>
      <c r="M63" s="4">
        <v>17668.40541798336</v>
      </c>
      <c r="N63" s="4">
        <v>17956.24508199349</v>
      </c>
      <c r="O63" s="4">
        <v>18046.10633402228</v>
      </c>
      <c r="P63" s="4">
        <v>17934.0006919351</v>
      </c>
      <c r="Q63" s="4">
        <v>17624.89939409983</v>
      </c>
      <c r="R63" s="4">
        <v>17132.27124609525</v>
      </c>
      <c r="S63" s="4">
        <v>16476.85951304564</v>
      </c>
      <c r="T63" s="4">
        <v>15684.88404451363</v>
      </c>
      <c r="U63" s="4">
        <v>14785.9264253822</v>
      </c>
      <c r="V63" s="4">
        <v>13810.77336944622</v>
      </c>
      <c r="W63" s="4">
        <v>12789.46018385509</v>
      </c>
      <c r="X63" s="4">
        <v>11749.68741682713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</row>
    <row r="64" spans="1:85">
      <c r="A64" t="s">
        <v>96</v>
      </c>
      <c r="B64" s="4">
        <v>67221.51567641622</v>
      </c>
      <c r="C64" s="4">
        <v>9091.920533477532</v>
      </c>
      <c r="D64" s="4">
        <v>10054.37481148736</v>
      </c>
      <c r="E64" s="4">
        <v>11046.72824630776</v>
      </c>
      <c r="F64" s="4">
        <v>12050.74805537489</v>
      </c>
      <c r="G64" s="4">
        <v>13044.14376611987</v>
      </c>
      <c r="H64" s="4">
        <v>14001.06342723535</v>
      </c>
      <c r="I64" s="4">
        <v>14893.03945277137</v>
      </c>
      <c r="J64" s="4">
        <v>15690.39188179403</v>
      </c>
      <c r="K64" s="4">
        <v>16364.02541409363</v>
      </c>
      <c r="L64" s="4">
        <v>16887.47599133578</v>
      </c>
      <c r="M64" s="4">
        <v>17238.99019654034</v>
      </c>
      <c r="N64" s="4">
        <v>17403.37669243882</v>
      </c>
      <c r="O64" s="4">
        <v>17373.37050665074</v>
      </c>
      <c r="P64" s="4">
        <v>17150.30538487775</v>
      </c>
      <c r="Q64" s="4">
        <v>16743.98940875119</v>
      </c>
      <c r="R64" s="4">
        <v>16171.80345109483</v>
      </c>
      <c r="S64" s="4">
        <v>15457.16180922615</v>
      </c>
      <c r="T64" s="4">
        <v>14627.56200864032</v>
      </c>
      <c r="U64" s="4">
        <v>13712.48900684831</v>
      </c>
      <c r="V64" s="4">
        <v>12741.42523499817</v>
      </c>
      <c r="W64" s="4">
        <v>11742.16300259525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spans="1:85">
      <c r="A65" t="s">
        <v>97</v>
      </c>
      <c r="B65" s="4">
        <v>95533.01239186144</v>
      </c>
      <c r="C65" s="4">
        <v>13392.50140445842</v>
      </c>
      <c r="D65" s="4">
        <v>14946.41184227529</v>
      </c>
      <c r="E65" s="4">
        <v>16588.93392156347</v>
      </c>
      <c r="F65" s="4">
        <v>18299.70318431969</v>
      </c>
      <c r="G65" s="4">
        <v>20051.21389708907</v>
      </c>
      <c r="H65" s="4">
        <v>21808.66323419061</v>
      </c>
      <c r="I65" s="4">
        <v>23530.38887457032</v>
      </c>
      <c r="J65" s="4">
        <v>25169.03952569899</v>
      </c>
      <c r="K65" s="4">
        <v>26673.55182904031</v>
      </c>
      <c r="L65" s="4">
        <v>27991.90157741588</v>
      </c>
      <c r="M65" s="4">
        <v>29074.46275844018</v>
      </c>
      <c r="N65" s="4">
        <v>29877.66814776347</v>
      </c>
      <c r="O65" s="4">
        <v>30367.55344616517</v>
      </c>
      <c r="P65" s="4">
        <v>30522.7182528993</v>
      </c>
      <c r="Q65" s="4">
        <v>30336.27607294411</v>
      </c>
      <c r="R65" s="4">
        <v>29816.49524507532</v>
      </c>
      <c r="S65" s="4">
        <v>28986.03018511855</v>
      </c>
      <c r="T65" s="4">
        <v>27879.86346372176</v>
      </c>
      <c r="U65" s="4">
        <v>26542.27211244463</v>
      </c>
      <c r="V65" s="4">
        <v>25023.25346397259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spans="1:85">
      <c r="A66" t="s">
        <v>98</v>
      </c>
      <c r="B66" s="4">
        <v>70413.33581890824</v>
      </c>
      <c r="C66" s="4">
        <v>9451.491888471879</v>
      </c>
      <c r="D66" s="4">
        <v>10432.16807976228</v>
      </c>
      <c r="E66" s="4">
        <v>11437.85530035394</v>
      </c>
      <c r="F66" s="4">
        <v>12448.91454249146</v>
      </c>
      <c r="G66" s="4">
        <v>13441.72424735088</v>
      </c>
      <c r="H66" s="4">
        <v>14389.31314137562</v>
      </c>
      <c r="I66" s="4">
        <v>15262.45507890964</v>
      </c>
      <c r="J66" s="4">
        <v>16031.21370111854</v>
      </c>
      <c r="K66" s="4">
        <v>16666.84848132229</v>
      </c>
      <c r="L66" s="4">
        <v>17143.91290682228</v>
      </c>
      <c r="M66" s="4">
        <v>17442.30901359094</v>
      </c>
      <c r="N66" s="4">
        <v>17549.03053183845</v>
      </c>
      <c r="O66" s="4">
        <v>17459.34447160194</v>
      </c>
      <c r="P66" s="4">
        <v>17177.23118984926</v>
      </c>
      <c r="Q66" s="4">
        <v>16715.01394651772</v>
      </c>
      <c r="R66" s="4">
        <v>16092.23609584611</v>
      </c>
      <c r="S66" s="4">
        <v>15333.95754869701</v>
      </c>
      <c r="T66" s="4">
        <v>14468.71658990782</v>
      </c>
      <c r="U66" s="4">
        <v>13526.42537317338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spans="1:85">
      <c r="A67" t="s">
        <v>99</v>
      </c>
      <c r="B67" s="4">
        <v>30446.19425409367</v>
      </c>
      <c r="C67" s="4">
        <v>4240.115633527184</v>
      </c>
      <c r="D67" s="4">
        <v>4724.00587214368</v>
      </c>
      <c r="E67" s="4">
        <v>5233.189254634039</v>
      </c>
      <c r="F67" s="4">
        <v>5760.757875410396</v>
      </c>
      <c r="G67" s="4">
        <v>6297.590551243084</v>
      </c>
      <c r="H67" s="4">
        <v>6832.358179909512</v>
      </c>
      <c r="I67" s="4">
        <v>7351.725511192431</v>
      </c>
      <c r="J67" s="4">
        <v>7840.786808969773</v>
      </c>
      <c r="K67" s="4">
        <v>8283.748707164516</v>
      </c>
      <c r="L67" s="4">
        <v>8664.837947263892</v>
      </c>
      <c r="M67" s="4">
        <v>8969.369136757712</v>
      </c>
      <c r="N67" s="4">
        <v>9184.866525497346</v>
      </c>
      <c r="O67" s="4">
        <v>9302.104774774591</v>
      </c>
      <c r="P67" s="4">
        <v>9315.926868443363</v>
      </c>
      <c r="Q67" s="4">
        <v>9225.718396681128</v>
      </c>
      <c r="R67" s="4">
        <v>9035.464858351741</v>
      </c>
      <c r="S67" s="4">
        <v>8753.382964124175</v>
      </c>
      <c r="T67" s="4">
        <v>8391.183382084651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spans="1:85">
      <c r="A68" t="s">
        <v>100</v>
      </c>
      <c r="B68" s="4">
        <v>49033.54466832685</v>
      </c>
      <c r="C68" s="4">
        <v>6549.772832721181</v>
      </c>
      <c r="D68" s="4">
        <v>7220.641757757694</v>
      </c>
      <c r="E68" s="4">
        <v>7906.224211014473</v>
      </c>
      <c r="F68" s="4">
        <v>8592.639201106897</v>
      </c>
      <c r="G68" s="4">
        <v>9263.355811419184</v>
      </c>
      <c r="H68" s="4">
        <v>9899.681090886923</v>
      </c>
      <c r="I68" s="4">
        <v>10481.56400549084</v>
      </c>
      <c r="J68" s="4">
        <v>10988.69813253381</v>
      </c>
      <c r="K68" s="4">
        <v>11401.85253983327</v>
      </c>
      <c r="L68" s="4">
        <v>11704.30610302795</v>
      </c>
      <c r="M68" s="4">
        <v>11883.21868284911</v>
      </c>
      <c r="N68" s="4">
        <v>11930.75659734535</v>
      </c>
      <c r="O68" s="4">
        <v>11844.80863348482</v>
      </c>
      <c r="P68" s="4">
        <v>11629.18271110748</v>
      </c>
      <c r="Q68" s="4">
        <v>11293.25229555985</v>
      </c>
      <c r="R68" s="4">
        <v>10851.107902747</v>
      </c>
      <c r="S68" s="4">
        <v>10320.34233932232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>
      <c r="A69" t="s">
        <v>101</v>
      </c>
      <c r="B69" s="4">
        <v>78039.86211354316</v>
      </c>
      <c r="C69" s="4">
        <v>10579.31895205262</v>
      </c>
      <c r="D69" s="4">
        <v>11705.95354137202</v>
      </c>
      <c r="E69" s="4">
        <v>12869.468544228</v>
      </c>
      <c r="F69" s="4">
        <v>14048.89946590464</v>
      </c>
      <c r="G69" s="4">
        <v>15218.48460389192</v>
      </c>
      <c r="H69" s="4">
        <v>16348.2015620021</v>
      </c>
      <c r="I69" s="4">
        <v>17404.82769029506</v>
      </c>
      <c r="J69" s="4">
        <v>18353.5403711446</v>
      </c>
      <c r="K69" s="4">
        <v>19159.99093173552</v>
      </c>
      <c r="L69" s="4">
        <v>19792.69152205781</v>
      </c>
      <c r="M69" s="4">
        <v>20225.46722564704</v>
      </c>
      <c r="N69" s="4">
        <v>20439.66981355351</v>
      </c>
      <c r="O69" s="4">
        <v>20425.84581502358</v>
      </c>
      <c r="P69" s="4">
        <v>20184.60979513504</v>
      </c>
      <c r="Q69" s="4">
        <v>19726.58702920348</v>
      </c>
      <c r="R69" s="4">
        <v>19071.43459716672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>
      <c r="A70" t="s">
        <v>102</v>
      </c>
      <c r="B70" s="4">
        <v>84589.03394692518</v>
      </c>
      <c r="C70" s="4">
        <v>11169.99111068386</v>
      </c>
      <c r="D70" s="4">
        <v>12279.26244784551</v>
      </c>
      <c r="E70" s="4">
        <v>13403.44192643282</v>
      </c>
      <c r="F70" s="4">
        <v>14517.92412562296</v>
      </c>
      <c r="G70" s="4">
        <v>15594.05152716156</v>
      </c>
      <c r="H70" s="4">
        <v>16600.13131253494</v>
      </c>
      <c r="I70" s="4">
        <v>17502.96644890279</v>
      </c>
      <c r="J70" s="4">
        <v>18269.83693234378</v>
      </c>
      <c r="K70" s="4">
        <v>18870.77700417448</v>
      </c>
      <c r="L70" s="4">
        <v>19280.91138110054</v>
      </c>
      <c r="M70" s="4">
        <v>19482.560781526</v>
      </c>
      <c r="N70" s="4">
        <v>19466.82413330892</v>
      </c>
      <c r="O70" s="4">
        <v>19234.40102204919</v>
      </c>
      <c r="P70" s="4">
        <v>18795.52643603907</v>
      </c>
      <c r="Q70" s="4">
        <v>18169.02807897818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spans="1:85">
      <c r="A71" t="s">
        <v>103</v>
      </c>
      <c r="B71" s="4">
        <v>43052.38042200391</v>
      </c>
      <c r="C71" s="4">
        <v>5907.641647320663</v>
      </c>
      <c r="D71" s="4">
        <v>6556.89352984068</v>
      </c>
      <c r="E71" s="4">
        <v>7233.132439228444</v>
      </c>
      <c r="F71" s="4">
        <v>7925.488278325167</v>
      </c>
      <c r="G71" s="4">
        <v>8620.206394314446</v>
      </c>
      <c r="H71" s="4">
        <v>9300.820300924403</v>
      </c>
      <c r="I71" s="4">
        <v>9948.614080183906</v>
      </c>
      <c r="J71" s="4">
        <v>10543.4035332989</v>
      </c>
      <c r="K71" s="4">
        <v>11064.62345089317</v>
      </c>
      <c r="L71" s="4">
        <v>11492.65524608268</v>
      </c>
      <c r="M71" s="4">
        <v>11810.27393131959</v>
      </c>
      <c r="N71" s="4">
        <v>12004.04923584757</v>
      </c>
      <c r="O71" s="4">
        <v>12065.51637900132</v>
      </c>
      <c r="P71" s="4">
        <v>11991.94735770955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spans="1:85">
      <c r="A72" t="s">
        <v>104</v>
      </c>
      <c r="B72" s="4">
        <v>53128.71056724828</v>
      </c>
      <c r="C72" s="4">
        <v>7446.628625989521</v>
      </c>
      <c r="D72" s="4">
        <v>8310.261660412842</v>
      </c>
      <c r="E72" s="4">
        <v>9223.031815330061</v>
      </c>
      <c r="F72" s="4">
        <v>10173.59293869228</v>
      </c>
      <c r="G72" s="4">
        <v>11146.63013433518</v>
      </c>
      <c r="H72" s="4">
        <v>12122.77575002091</v>
      </c>
      <c r="I72" s="4">
        <v>13078.85577882687</v>
      </c>
      <c r="J72" s="4">
        <v>13988.54394172858</v>
      </c>
      <c r="K72" s="4">
        <v>14823.46382369453</v>
      </c>
      <c r="L72" s="4">
        <v>15554.72063994806</v>
      </c>
      <c r="M72" s="4">
        <v>16154.76944981064</v>
      </c>
      <c r="N72" s="4">
        <v>16599.44903719443</v>
      </c>
      <c r="O72" s="4">
        <v>16869.94884394825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spans="1:85">
      <c r="A73" t="s">
        <v>105</v>
      </c>
      <c r="B73" s="4">
        <v>25437.9219239467</v>
      </c>
      <c r="C73" s="4">
        <v>3447.003881124641</v>
      </c>
      <c r="D73" s="4">
        <v>3813.68950882916</v>
      </c>
      <c r="E73" s="4">
        <v>4192.26712297431</v>
      </c>
      <c r="F73" s="4">
        <v>4575.890834484679</v>
      </c>
      <c r="G73" s="4">
        <v>4956.156154491364</v>
      </c>
      <c r="H73" s="4">
        <v>5323.27724607737</v>
      </c>
      <c r="I73" s="4">
        <v>5666.434853011633</v>
      </c>
      <c r="J73" s="4">
        <v>5974.299685197911</v>
      </c>
      <c r="K73" s="4">
        <v>6235.70921657265</v>
      </c>
      <c r="L73" s="4">
        <v>6440.445115526294</v>
      </c>
      <c r="M73" s="4">
        <v>6580.030315716896</v>
      </c>
      <c r="N73" s="4">
        <v>6648.446807457047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spans="1:85">
      <c r="A74" t="s">
        <v>106</v>
      </c>
      <c r="B74" s="4">
        <v>98884.35975468636</v>
      </c>
      <c r="C74" s="4">
        <v>13360.15333697321</v>
      </c>
      <c r="D74" s="4">
        <v>14770.48170920943</v>
      </c>
      <c r="E74" s="4">
        <v>16223.52367843845</v>
      </c>
      <c r="F74" s="4">
        <v>17692.34325751232</v>
      </c>
      <c r="G74" s="4">
        <v>19144.08722522325</v>
      </c>
      <c r="H74" s="4">
        <v>20540.73807438323</v>
      </c>
      <c r="I74" s="4">
        <v>21840.52701914503</v>
      </c>
      <c r="J74" s="4">
        <v>23000.01445769833</v>
      </c>
      <c r="K74" s="4">
        <v>23976.73982507209</v>
      </c>
      <c r="L74" s="4">
        <v>24732.22480634495</v>
      </c>
      <c r="M74" s="4">
        <v>25235.00900509284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</row>
    <row r="75" spans="1:85">
      <c r="A75" t="s">
        <v>107</v>
      </c>
      <c r="B75" s="4">
        <v>115576.144071641</v>
      </c>
      <c r="C75" s="4">
        <v>15243.83483734717</v>
      </c>
      <c r="D75" s="4">
        <v>16752.8310216502</v>
      </c>
      <c r="E75" s="4">
        <v>18280.78544456229</v>
      </c>
      <c r="F75" s="4">
        <v>19794.00484108346</v>
      </c>
      <c r="G75" s="4">
        <v>21253.33365126897</v>
      </c>
      <c r="H75" s="4">
        <v>22615.56595311995</v>
      </c>
      <c r="I75" s="4">
        <v>23835.55496947916</v>
      </c>
      <c r="J75" s="4">
        <v>24868.92794351667</v>
      </c>
      <c r="K75" s="4">
        <v>25675.19163026521</v>
      </c>
      <c r="L75" s="4">
        <v>26220.90225842432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spans="1:85">
      <c r="A76" t="s">
        <v>108</v>
      </c>
      <c r="B76" s="4">
        <v>63579.00182961575</v>
      </c>
      <c r="C76" s="4">
        <v>8583.179634386659</v>
      </c>
      <c r="D76" s="4">
        <v>9487.327719367051</v>
      </c>
      <c r="E76" s="4">
        <v>10418.32777509326</v>
      </c>
      <c r="F76" s="4">
        <v>11358.80636532296</v>
      </c>
      <c r="G76" s="4">
        <v>12287.6107120071</v>
      </c>
      <c r="H76" s="4">
        <v>13180.30386499671</v>
      </c>
      <c r="I76" s="4">
        <v>14010.08354783693</v>
      </c>
      <c r="J76" s="4">
        <v>14749.12747623646</v>
      </c>
      <c r="K76" s="4">
        <v>15370.2999616962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</row>
    <row r="77" spans="1:85">
      <c r="A77" t="s">
        <v>109</v>
      </c>
      <c r="B77" s="4">
        <v>70119.08441276322</v>
      </c>
      <c r="C77" s="4">
        <v>9122.803740220916</v>
      </c>
      <c r="D77" s="4">
        <v>9992.655883849933</v>
      </c>
      <c r="E77" s="4">
        <v>10864.5597740441</v>
      </c>
      <c r="F77" s="4">
        <v>11717.68950454553</v>
      </c>
      <c r="G77" s="4">
        <v>12528.43257231555</v>
      </c>
      <c r="H77" s="4">
        <v>13271.38988110103</v>
      </c>
      <c r="I77" s="4">
        <v>13920.75774094206</v>
      </c>
      <c r="J77" s="4">
        <v>14452.00592867628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spans="1:85">
      <c r="A78" t="s">
        <v>110</v>
      </c>
      <c r="B78" s="4">
        <v>63117.76566487772</v>
      </c>
      <c r="C78" s="4">
        <v>8371.035818194374</v>
      </c>
      <c r="D78" s="4">
        <v>9212.175514124698</v>
      </c>
      <c r="E78" s="4">
        <v>10067.32858396517</v>
      </c>
      <c r="F78" s="4">
        <v>10918.30016914208</v>
      </c>
      <c r="G78" s="4">
        <v>11743.72363650666</v>
      </c>
      <c r="H78" s="4">
        <v>12519.77202181028</v>
      </c>
      <c r="I78" s="4">
        <v>13221.26285827591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spans="1:85">
      <c r="A79" t="s">
        <v>111</v>
      </c>
      <c r="B79" s="4">
        <v>72334.81404300296</v>
      </c>
      <c r="C79" s="4">
        <v>9873.470625695743</v>
      </c>
      <c r="D79" s="4">
        <v>10943.87788614233</v>
      </c>
      <c r="E79" s="4">
        <v>12054.67311442652</v>
      </c>
      <c r="F79" s="4">
        <v>13187.04814278863</v>
      </c>
      <c r="G79" s="4">
        <v>14317.51651444164</v>
      </c>
      <c r="H79" s="4">
        <v>15418.29625743887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</row>
    <row r="80" spans="1:85">
      <c r="A80" t="s">
        <v>112</v>
      </c>
      <c r="B80" s="4">
        <v>33528.01493778737</v>
      </c>
      <c r="C80" s="4">
        <v>4687.367647698447</v>
      </c>
      <c r="D80" s="4">
        <v>5227.521860102373</v>
      </c>
      <c r="E80" s="4">
        <v>5797.414173960613</v>
      </c>
      <c r="F80" s="4">
        <v>6389.700660143986</v>
      </c>
      <c r="G80" s="4">
        <v>6994.558326223814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</row>
    <row r="81" spans="1:85">
      <c r="A81" t="s">
        <v>113</v>
      </c>
      <c r="B81" s="4">
        <v>71337.15589150215</v>
      </c>
      <c r="C81" s="4">
        <v>10252.82067332343</v>
      </c>
      <c r="D81" s="4">
        <v>11517.79458916716</v>
      </c>
      <c r="E81" s="4">
        <v>12877.57779966928</v>
      </c>
      <c r="F81" s="4">
        <v>14321.72176169064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spans="1:85">
      <c r="A82" t="s">
        <v>114</v>
      </c>
      <c r="B82" s="4">
        <v>164787.3816902328</v>
      </c>
      <c r="C82" s="4">
        <v>22045.0856837763</v>
      </c>
      <c r="D82" s="4">
        <v>24312.16984175175</v>
      </c>
      <c r="E82" s="4">
        <v>26631.4888439861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spans="1:85">
      <c r="A83" t="s">
        <v>115</v>
      </c>
      <c r="B83" s="4">
        <v>71406.95454648747</v>
      </c>
      <c r="C83" s="4">
        <v>10006.56814748226</v>
      </c>
      <c r="D83" s="4">
        <v>11166.52007532642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spans="1:85">
      <c r="A84" t="s">
        <v>116</v>
      </c>
      <c r="B84" s="4">
        <v>44363.12508368826</v>
      </c>
      <c r="C84" s="4">
        <v>6057.835277486964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spans="1:85">
      <c r="A85" t="s">
        <v>7</v>
      </c>
      <c r="B85" s="4">
        <v>97464.5294240348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F18"/>
  <sheetViews>
    <sheetView workbookViewId="0"/>
  </sheetViews>
  <sheetFormatPr defaultRowHeight="15"/>
  <cols>
    <col min="1" max="1" width="22.7109375" customWidth="1"/>
    <col min="2" max="85" width="10.7109375" customWidth="1"/>
  </cols>
  <sheetData>
    <row r="1" spans="1:84">
      <c r="A1" s="6" t="s">
        <v>117</v>
      </c>
    </row>
    <row r="2" spans="1:84">
      <c r="A2" s="3" t="s">
        <v>118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3">
        <v>46</v>
      </c>
      <c r="AV2" s="3">
        <v>47</v>
      </c>
      <c r="AW2" s="3">
        <v>48</v>
      </c>
      <c r="AX2" s="3">
        <v>49</v>
      </c>
      <c r="AY2" s="3">
        <v>50</v>
      </c>
      <c r="AZ2" s="3">
        <v>51</v>
      </c>
      <c r="BA2" s="3">
        <v>52</v>
      </c>
      <c r="BB2" s="3">
        <v>53</v>
      </c>
      <c r="BC2" s="3">
        <v>54</v>
      </c>
      <c r="BD2" s="3">
        <v>55</v>
      </c>
      <c r="BE2" s="3">
        <v>56</v>
      </c>
      <c r="BF2" s="3">
        <v>57</v>
      </c>
      <c r="BG2" s="3">
        <v>58</v>
      </c>
      <c r="BH2" s="3">
        <v>59</v>
      </c>
      <c r="BI2" s="3">
        <v>60</v>
      </c>
      <c r="BJ2" s="3">
        <v>61</v>
      </c>
      <c r="BK2" s="3">
        <v>62</v>
      </c>
      <c r="BL2" s="3">
        <v>63</v>
      </c>
      <c r="BM2" s="3">
        <v>64</v>
      </c>
      <c r="BN2" s="3">
        <v>65</v>
      </c>
      <c r="BO2" s="3">
        <v>66</v>
      </c>
      <c r="BP2" s="3">
        <v>67</v>
      </c>
      <c r="BQ2" s="3">
        <v>68</v>
      </c>
      <c r="BR2" s="3">
        <v>69</v>
      </c>
      <c r="BS2" s="3">
        <v>70</v>
      </c>
      <c r="BT2" s="3">
        <v>71</v>
      </c>
      <c r="BU2" s="3">
        <v>72</v>
      </c>
      <c r="BV2" s="3">
        <v>73</v>
      </c>
      <c r="BW2" s="3">
        <v>74</v>
      </c>
      <c r="BX2" s="3">
        <v>75</v>
      </c>
      <c r="BY2" s="3">
        <v>76</v>
      </c>
      <c r="BZ2" s="3">
        <v>77</v>
      </c>
      <c r="CA2" s="3">
        <v>78</v>
      </c>
      <c r="CB2" s="3">
        <v>79</v>
      </c>
      <c r="CC2" s="3">
        <v>80</v>
      </c>
      <c r="CD2" s="3">
        <v>81</v>
      </c>
      <c r="CE2" s="3">
        <v>82</v>
      </c>
      <c r="CF2" s="3">
        <v>83</v>
      </c>
    </row>
    <row r="3" spans="1:84">
      <c r="A3" t="s">
        <v>25</v>
      </c>
      <c r="B3" s="7">
        <v>1.135240973665169</v>
      </c>
      <c r="C3" s="7">
        <v>1.13174401413685</v>
      </c>
      <c r="D3" s="7">
        <v>1.127834326672098</v>
      </c>
      <c r="E3" s="7">
        <v>1.123719657978106</v>
      </c>
      <c r="F3" s="7">
        <v>1.119020269781756</v>
      </c>
      <c r="G3" s="7">
        <v>1.114114871220393</v>
      </c>
      <c r="H3" s="7">
        <v>1.108920338720406</v>
      </c>
      <c r="I3" s="7">
        <v>1.103541793895987</v>
      </c>
      <c r="J3" s="7">
        <v>1.09800471099955</v>
      </c>
      <c r="K3" s="7">
        <v>1.092177750739128</v>
      </c>
      <c r="L3" s="7">
        <v>1.08637249860102</v>
      </c>
      <c r="M3" s="7">
        <v>1.080374789682408</v>
      </c>
      <c r="N3" s="7">
        <v>1.074369742981254</v>
      </c>
      <c r="O3" s="7">
        <v>1.068312109304491</v>
      </c>
      <c r="P3" s="7">
        <v>1.06248110869275</v>
      </c>
      <c r="Q3" s="7">
        <v>1.05697824859043</v>
      </c>
      <c r="R3" s="7">
        <v>1.051609005739549</v>
      </c>
      <c r="S3" s="7">
        <v>1.046553858232776</v>
      </c>
      <c r="T3" s="7">
        <v>1.041724585886859</v>
      </c>
      <c r="U3" s="7">
        <v>1.037307509271067</v>
      </c>
      <c r="V3" s="7">
        <v>1.033017210079791</v>
      </c>
      <c r="W3" s="7">
        <v>1.029272463132015</v>
      </c>
      <c r="X3" s="7">
        <v>1.025829487932074</v>
      </c>
      <c r="Y3" s="7">
        <v>1.022739661317147</v>
      </c>
      <c r="Z3" s="7">
        <v>1.019948887274969</v>
      </c>
      <c r="AA3" s="7">
        <v>1.017471681400414</v>
      </c>
      <c r="AB3" s="7">
        <v>1.015226385388318</v>
      </c>
      <c r="AC3" s="7">
        <v>1.013341741224019</v>
      </c>
      <c r="AD3" s="7">
        <v>1.011578742306942</v>
      </c>
      <c r="AE3" s="7">
        <v>1.010062348238635</v>
      </c>
      <c r="AF3" s="7">
        <v>1.008740514540883</v>
      </c>
      <c r="AG3" s="7">
        <v>1.007591932538392</v>
      </c>
      <c r="AH3" s="7">
        <v>1.006566250407074</v>
      </c>
      <c r="AI3" s="7">
        <v>1.005700823270051</v>
      </c>
      <c r="AJ3" s="7">
        <v>1.004923756732962</v>
      </c>
      <c r="AK3" s="7">
        <v>1.004258960885576</v>
      </c>
      <c r="AL3" s="7">
        <v>1.00369166188809</v>
      </c>
      <c r="AM3" s="7">
        <v>1.003193736581835</v>
      </c>
      <c r="AN3" s="7">
        <v>1.002755420912861</v>
      </c>
      <c r="AO3" s="7">
        <v>1.00237041445973</v>
      </c>
      <c r="AP3" s="7">
        <v>1.002041819930263</v>
      </c>
      <c r="AQ3" s="7">
        <v>1.001767795328563</v>
      </c>
      <c r="AR3" s="7">
        <v>1.001519063292817</v>
      </c>
      <c r="AS3" s="7">
        <v>1.001305056829345</v>
      </c>
      <c r="AT3" s="7">
        <v>1.001127218086637</v>
      </c>
      <c r="AU3" s="7">
        <v>1.000963737859983</v>
      </c>
      <c r="AV3" s="7">
        <v>1.000829783298708</v>
      </c>
      <c r="AW3" s="7">
        <v>1.000715751484979</v>
      </c>
      <c r="AX3" s="7">
        <v>1.000615013671236</v>
      </c>
      <c r="AY3" s="7">
        <v>1.000529941556238</v>
      </c>
      <c r="AZ3" s="7">
        <v>1.000455902766558</v>
      </c>
      <c r="BA3" s="7">
        <v>1.000391032752066</v>
      </c>
      <c r="BB3" s="7">
        <v>1.000335418409742</v>
      </c>
      <c r="BC3" s="7">
        <v>1.000288621670252</v>
      </c>
      <c r="BD3" s="7">
        <v>1.000248131708916</v>
      </c>
      <c r="BE3" s="7">
        <v>1.000214794986674</v>
      </c>
      <c r="BF3" s="7">
        <v>1.000185254284106</v>
      </c>
      <c r="BG3" s="7">
        <v>1.000161405693901</v>
      </c>
      <c r="BH3" s="7">
        <v>1.000138572739886</v>
      </c>
      <c r="BI3" s="7">
        <v>1.000118912656246</v>
      </c>
      <c r="BJ3" s="7">
        <v>1.000102080677308</v>
      </c>
      <c r="BK3" s="7">
        <v>1.000087751531041</v>
      </c>
      <c r="BL3" s="7">
        <v>1.000075227505279</v>
      </c>
      <c r="BM3" s="7">
        <v>1.000064827268381</v>
      </c>
      <c r="BN3" s="7">
        <v>1.000055841700463</v>
      </c>
      <c r="BO3" s="7">
        <v>1.000048012344201</v>
      </c>
      <c r="BP3" s="7">
        <v>1.000041781116172</v>
      </c>
      <c r="BQ3" s="7">
        <v>1.00003626657292</v>
      </c>
      <c r="BR3" s="7">
        <v>1.000031628084226</v>
      </c>
      <c r="BS3" s="7">
        <v>1.000027466897154</v>
      </c>
      <c r="BT3" s="7">
        <v>1.00002321143629</v>
      </c>
      <c r="BU3" s="7">
        <v>1.000020376185738</v>
      </c>
      <c r="BV3" s="7">
        <v>1.000017495284184</v>
      </c>
      <c r="BW3" s="7">
        <v>1.00001495316249</v>
      </c>
      <c r="BX3" s="7">
        <v>1.000012947739338</v>
      </c>
      <c r="BY3" s="7">
        <v>1.000011098047916</v>
      </c>
      <c r="BZ3" s="7">
        <v>1.000009532829958</v>
      </c>
      <c r="CA3" s="7">
        <v>1.000008214058241</v>
      </c>
      <c r="CB3" s="7">
        <v>1.000006988696381</v>
      </c>
      <c r="CC3" s="7">
        <v>1.000006056082468</v>
      </c>
      <c r="CD3" s="7">
        <v>1.000005398488931</v>
      </c>
      <c r="CE3" s="7">
        <v>1.000004903863607</v>
      </c>
      <c r="CF3" s="7">
        <v>1.000003911489922</v>
      </c>
    </row>
    <row r="4" spans="1:84">
      <c r="A4" t="s">
        <v>119</v>
      </c>
      <c r="B4" s="7">
        <v>1.135798847856349</v>
      </c>
      <c r="C4" s="7">
        <v>1.132364479563439</v>
      </c>
      <c r="D4" s="7">
        <v>1.12849857458628</v>
      </c>
      <c r="E4" s="7">
        <v>1.124248330119693</v>
      </c>
      <c r="F4" s="7">
        <v>1.119364142828073</v>
      </c>
      <c r="G4" s="7">
        <v>1.114438878643166</v>
      </c>
      <c r="H4" s="7">
        <v>1.109199816848145</v>
      </c>
      <c r="I4" s="7">
        <v>1.103836074396413</v>
      </c>
      <c r="J4" s="7">
        <v>1.098737704507619</v>
      </c>
      <c r="K4" s="7">
        <v>1.092687624434169</v>
      </c>
      <c r="L4" s="7">
        <v>1.087360691800699</v>
      </c>
      <c r="M4" s="7">
        <v>1.081399925973435</v>
      </c>
      <c r="N4" s="7">
        <v>1.075055596552052</v>
      </c>
      <c r="O4" s="7">
        <v>1.068600465555318</v>
      </c>
      <c r="P4" s="7">
        <v>1.062744206880939</v>
      </c>
      <c r="Q4" s="7">
        <v>1.057625057431826</v>
      </c>
      <c r="R4" s="7">
        <v>1.052333799660856</v>
      </c>
      <c r="S4" s="7">
        <v>1.047012335995298</v>
      </c>
      <c r="T4" s="7">
        <v>1.042224812406687</v>
      </c>
      <c r="U4" s="7">
        <v>1.037971206956604</v>
      </c>
      <c r="V4" s="7">
        <v>1.033223615437695</v>
      </c>
      <c r="W4" s="7">
        <v>1.029734579488463</v>
      </c>
      <c r="X4" s="7">
        <v>1.026211617018864</v>
      </c>
      <c r="Y4" s="7">
        <v>1.023024972207757</v>
      </c>
      <c r="Z4" s="7">
        <v>1.020226342921233</v>
      </c>
      <c r="AA4" s="7">
        <v>1.017698391240589</v>
      </c>
      <c r="AB4" s="7">
        <v>1.015376360659048</v>
      </c>
      <c r="AC4" s="7">
        <v>1.013629919859437</v>
      </c>
      <c r="AD4" s="7">
        <v>1.011823055010537</v>
      </c>
      <c r="AE4" s="7">
        <v>1.010276277786863</v>
      </c>
      <c r="AF4" s="7">
        <v>1.008935125012179</v>
      </c>
      <c r="AG4" s="7">
        <v>1.007717562331858</v>
      </c>
      <c r="AH4" s="7">
        <v>1.006638952939546</v>
      </c>
      <c r="AI4" s="7">
        <v>1.005702236586449</v>
      </c>
      <c r="AJ4" s="7">
        <v>1.004930632592671</v>
      </c>
      <c r="AK4" s="7">
        <v>1.004281145000886</v>
      </c>
      <c r="AL4" s="7">
        <v>1.003733272743837</v>
      </c>
      <c r="AM4" s="7">
        <v>1.00324022699999</v>
      </c>
      <c r="AN4" s="7">
        <v>1.00280449578034</v>
      </c>
      <c r="AO4" s="7">
        <v>1.002402051600486</v>
      </c>
      <c r="AP4" s="7">
        <v>1.002063730157901</v>
      </c>
      <c r="AQ4" s="7">
        <v>1.001794953687804</v>
      </c>
      <c r="AR4" s="7">
        <v>1.001522609464428</v>
      </c>
      <c r="AS4" s="7">
        <v>1.001296269770519</v>
      </c>
      <c r="AT4" s="7">
        <v>1.001110933867107</v>
      </c>
      <c r="AU4" s="7">
        <v>1.000940262852916</v>
      </c>
      <c r="AV4" s="7">
        <v>1.000820415656426</v>
      </c>
      <c r="AW4" s="7">
        <v>1.000701559724649</v>
      </c>
      <c r="AX4" s="7">
        <v>1.000603553467978</v>
      </c>
      <c r="AY4" s="7">
        <v>1.000522777915041</v>
      </c>
      <c r="AZ4" s="7">
        <v>1.00044896348898</v>
      </c>
      <c r="BA4" s="7">
        <v>1.000385357777468</v>
      </c>
      <c r="BB4" s="7">
        <v>1.000330528723535</v>
      </c>
      <c r="BC4" s="7">
        <v>1.000284696250727</v>
      </c>
      <c r="BD4" s="7">
        <v>1.000245904727377</v>
      </c>
      <c r="BE4" s="7">
        <v>1.000212992365457</v>
      </c>
      <c r="BF4" s="7">
        <v>1.000182731740942</v>
      </c>
      <c r="BG4" s="7">
        <v>1.000159738478139</v>
      </c>
      <c r="BH4" s="7">
        <v>1.000138461630613</v>
      </c>
      <c r="BI4" s="7">
        <v>1.000118912656246</v>
      </c>
      <c r="BJ4" s="7">
        <v>1.000102080677308</v>
      </c>
      <c r="BK4" s="7">
        <v>1.000087751531041</v>
      </c>
      <c r="BL4" s="7">
        <v>1.000075227505279</v>
      </c>
      <c r="BM4" s="7">
        <v>1.000064827268381</v>
      </c>
      <c r="BN4" s="7">
        <v>1.000055841700463</v>
      </c>
      <c r="BO4" s="7">
        <v>1.000048012344201</v>
      </c>
      <c r="BP4" s="7">
        <v>1.000041781116172</v>
      </c>
      <c r="BQ4" s="7">
        <v>1.00003626657292</v>
      </c>
      <c r="BR4" s="7">
        <v>1.000031628084226</v>
      </c>
      <c r="BS4" s="7">
        <v>1.000027466897154</v>
      </c>
      <c r="BT4" s="7">
        <v>1.00002321143629</v>
      </c>
      <c r="BU4" s="7">
        <v>1.000020376185738</v>
      </c>
      <c r="BV4" s="7">
        <v>1.000017495284184</v>
      </c>
      <c r="BW4" s="7">
        <v>1.00001495316249</v>
      </c>
      <c r="BX4" s="7">
        <v>1.000012947739338</v>
      </c>
      <c r="BY4" s="7">
        <v>1.000011098047916</v>
      </c>
      <c r="BZ4" s="7">
        <v>1.000009532829958</v>
      </c>
      <c r="CA4" s="7">
        <v>1.000008214058241</v>
      </c>
      <c r="CB4" s="7">
        <v>1.000006988696381</v>
      </c>
      <c r="CC4" s="7">
        <v>1.000006056082468</v>
      </c>
      <c r="CD4" s="7">
        <v>1.000005398488931</v>
      </c>
      <c r="CE4" s="7">
        <v>1.000004903863607</v>
      </c>
      <c r="CF4" s="7">
        <v>1.000003911489922</v>
      </c>
    </row>
    <row r="5" spans="1:84">
      <c r="A5" t="s">
        <v>120</v>
      </c>
      <c r="B5" s="7">
        <v>1.135332572373164</v>
      </c>
      <c r="C5" s="7">
        <v>1.132114956909108</v>
      </c>
      <c r="D5" s="7">
        <v>1.12797915347895</v>
      </c>
      <c r="E5" s="7">
        <v>1.123798348252976</v>
      </c>
      <c r="F5" s="7">
        <v>1.118205893028437</v>
      </c>
      <c r="G5" s="7">
        <v>1.112863948072362</v>
      </c>
      <c r="H5" s="7">
        <v>1.107622862015497</v>
      </c>
      <c r="I5" s="7">
        <v>1.102330693291272</v>
      </c>
      <c r="J5" s="7">
        <v>1.098499962090384</v>
      </c>
      <c r="K5" s="7">
        <v>1.092715453870416</v>
      </c>
      <c r="L5" s="7">
        <v>1.087964073040041</v>
      </c>
      <c r="M5" s="7">
        <v>1.082230307595293</v>
      </c>
      <c r="N5" s="7">
        <v>1.07636658670617</v>
      </c>
      <c r="O5" s="7">
        <v>1.069813220472007</v>
      </c>
      <c r="P5" s="7">
        <v>1.064304447844377</v>
      </c>
      <c r="Q5" s="7">
        <v>1.058299059490666</v>
      </c>
      <c r="R5" s="7">
        <v>1.05346525665194</v>
      </c>
      <c r="S5" s="7">
        <v>1.048482318968168</v>
      </c>
      <c r="T5" s="7">
        <v>1.043258243415301</v>
      </c>
      <c r="U5" s="7">
        <v>1.038749974600419</v>
      </c>
      <c r="V5" s="7">
        <v>1.03381356123426</v>
      </c>
      <c r="W5" s="7">
        <v>1.0296959043024</v>
      </c>
      <c r="X5" s="7">
        <v>1.026240682964702</v>
      </c>
      <c r="Y5" s="7">
        <v>1.02303585056189</v>
      </c>
      <c r="Z5" s="7">
        <v>1.019849880820158</v>
      </c>
      <c r="AA5" s="7">
        <v>1.017242030868147</v>
      </c>
      <c r="AB5" s="7">
        <v>1.014873271340745</v>
      </c>
      <c r="AC5" s="7">
        <v>1.013403287120424</v>
      </c>
      <c r="AD5" s="7">
        <v>1.011524273947142</v>
      </c>
      <c r="AE5" s="7">
        <v>1.009842481095572</v>
      </c>
      <c r="AF5" s="7">
        <v>1.008662953879583</v>
      </c>
      <c r="AG5" s="7">
        <v>1.007640706007317</v>
      </c>
      <c r="AH5" s="7">
        <v>1.006519515583215</v>
      </c>
      <c r="AI5" s="7">
        <v>1.005836292665229</v>
      </c>
      <c r="AJ5" s="7">
        <v>1.005021067819105</v>
      </c>
      <c r="AK5" s="7">
        <v>1.004329661024316</v>
      </c>
      <c r="AL5" s="7">
        <v>1.003809709431833</v>
      </c>
      <c r="AM5" s="7">
        <v>1.003310461773505</v>
      </c>
      <c r="AN5" s="7">
        <v>1.00286131390638</v>
      </c>
      <c r="AO5" s="7">
        <v>1.0024704598866</v>
      </c>
      <c r="AP5" s="7">
        <v>1.002138039683111</v>
      </c>
      <c r="AQ5" s="7">
        <v>1.001878650183112</v>
      </c>
      <c r="AR5" s="7">
        <v>1.001602216487259</v>
      </c>
      <c r="AS5" s="7">
        <v>1.001345791278072</v>
      </c>
      <c r="AT5" s="7">
        <v>1.001160838638865</v>
      </c>
      <c r="AU5" s="7">
        <v>1.000944232226815</v>
      </c>
      <c r="AV5" s="7">
        <v>1.000817341083144</v>
      </c>
      <c r="AW5" s="7">
        <v>1.00071356968546</v>
      </c>
      <c r="AX5" s="7">
        <v>1.000613811976156</v>
      </c>
      <c r="AY5" s="7">
        <v>1.000531212544584</v>
      </c>
      <c r="AZ5" s="7">
        <v>1.000459967047692</v>
      </c>
      <c r="BA5" s="7">
        <v>1.000390369220298</v>
      </c>
      <c r="BB5" s="7">
        <v>1.000332045537531</v>
      </c>
      <c r="BC5" s="7">
        <v>1.000286133158937</v>
      </c>
      <c r="BD5" s="7">
        <v>1.000241307058027</v>
      </c>
      <c r="BE5" s="7">
        <v>1.000208529458359</v>
      </c>
      <c r="BF5" s="7">
        <v>1.000176778973953</v>
      </c>
      <c r="BG5" s="7">
        <v>1.000155610055369</v>
      </c>
      <c r="BH5" s="7">
        <v>1.00013663071307</v>
      </c>
      <c r="BI5" s="7">
        <v>1.000114791888138</v>
      </c>
      <c r="BJ5" s="7">
        <v>1.00009866501089</v>
      </c>
      <c r="BK5" s="7">
        <v>1.000085505576991</v>
      </c>
      <c r="BL5" s="7">
        <v>1.000072886606054</v>
      </c>
      <c r="BM5" s="7">
        <v>1.000063096312071</v>
      </c>
      <c r="BN5" s="7">
        <v>1.000054499825289</v>
      </c>
      <c r="BO5" s="7">
        <v>1.000046911573529</v>
      </c>
      <c r="BP5" s="7">
        <v>1.000041477832371</v>
      </c>
      <c r="BQ5" s="7">
        <v>1.00003605692623</v>
      </c>
      <c r="BR5" s="7">
        <v>1.000031203694261</v>
      </c>
      <c r="BS5" s="7">
        <v>1.000027069585959</v>
      </c>
      <c r="BT5" s="7">
        <v>1.000023189713292</v>
      </c>
      <c r="BU5" s="7">
        <v>1.000020376185738</v>
      </c>
      <c r="BV5" s="7">
        <v>1.000017495284184</v>
      </c>
      <c r="BW5" s="7">
        <v>1.00001495316249</v>
      </c>
      <c r="BX5" s="7">
        <v>1.000012947739338</v>
      </c>
      <c r="BY5" s="7">
        <v>1.000011098047916</v>
      </c>
      <c r="BZ5" s="7">
        <v>1.000009532829958</v>
      </c>
      <c r="CA5" s="7">
        <v>1.000008214058241</v>
      </c>
      <c r="CB5" s="7">
        <v>1.000006988696381</v>
      </c>
      <c r="CC5" s="7">
        <v>1.000006056082468</v>
      </c>
      <c r="CD5" s="7">
        <v>1.000005398488931</v>
      </c>
      <c r="CE5" s="7">
        <v>1.000004903863607</v>
      </c>
      <c r="CF5" s="7">
        <v>1.000003911489922</v>
      </c>
    </row>
    <row r="6" spans="1:84">
      <c r="A6" t="s">
        <v>121</v>
      </c>
      <c r="B6" s="7">
        <v>1.135894100284231</v>
      </c>
      <c r="C6" s="7">
        <v>1.132806386833622</v>
      </c>
      <c r="D6" s="7">
        <v>1.128782120147535</v>
      </c>
      <c r="E6" s="7">
        <v>1.124496777854581</v>
      </c>
      <c r="F6" s="7">
        <v>1.119041060900214</v>
      </c>
      <c r="G6" s="7">
        <v>1.113376034815049</v>
      </c>
      <c r="H6" s="7">
        <v>1.108535605444642</v>
      </c>
      <c r="I6" s="7">
        <v>1.10328194520213</v>
      </c>
      <c r="J6" s="7">
        <v>1.099054382432416</v>
      </c>
      <c r="K6" s="7">
        <v>1.093263786801918</v>
      </c>
      <c r="L6" s="7">
        <v>1.088088863900562</v>
      </c>
      <c r="M6" s="7">
        <v>1.082218864941045</v>
      </c>
      <c r="N6" s="7">
        <v>1.07642195156708</v>
      </c>
      <c r="O6" s="7">
        <v>1.069778523496703</v>
      </c>
      <c r="P6" s="7">
        <v>1.0644133625535</v>
      </c>
      <c r="Q6" s="7">
        <v>1.058579937334114</v>
      </c>
      <c r="R6" s="7">
        <v>1.054281874303931</v>
      </c>
      <c r="S6" s="7">
        <v>1.049344774010235</v>
      </c>
      <c r="T6" s="7">
        <v>1.043840365357082</v>
      </c>
      <c r="U6" s="7">
        <v>1.038968645436485</v>
      </c>
      <c r="V6" s="7">
        <v>1.034358439032226</v>
      </c>
      <c r="W6" s="7">
        <v>1.030258034845438</v>
      </c>
      <c r="X6" s="7">
        <v>1.026780122331051</v>
      </c>
      <c r="Y6" s="7">
        <v>1.023445868991842</v>
      </c>
      <c r="Z6" s="7">
        <v>1.020330799105349</v>
      </c>
      <c r="AA6" s="7">
        <v>1.017644657758116</v>
      </c>
      <c r="AB6" s="7">
        <v>1.015164070661039</v>
      </c>
      <c r="AC6" s="7">
        <v>1.013535840813343</v>
      </c>
      <c r="AD6" s="7">
        <v>1.011542512353071</v>
      </c>
      <c r="AE6" s="7">
        <v>1.009915104802612</v>
      </c>
      <c r="AF6" s="7">
        <v>1.008703435971246</v>
      </c>
      <c r="AG6" s="7">
        <v>1.007730511216653</v>
      </c>
      <c r="AH6" s="7">
        <v>1.006620031336662</v>
      </c>
      <c r="AI6" s="7">
        <v>1.005866360595463</v>
      </c>
      <c r="AJ6" s="7">
        <v>1.005041037558173</v>
      </c>
      <c r="AK6" s="7">
        <v>1.004358452978614</v>
      </c>
      <c r="AL6" s="7">
        <v>1.00382516593697</v>
      </c>
      <c r="AM6" s="7">
        <v>1.003312739395801</v>
      </c>
      <c r="AN6" s="7">
        <v>1.002863037783265</v>
      </c>
      <c r="AO6" s="7">
        <v>1.002486899674266</v>
      </c>
      <c r="AP6" s="7">
        <v>1.002147245794087</v>
      </c>
      <c r="AQ6" s="7">
        <v>1.001871090866497</v>
      </c>
      <c r="AR6" s="7">
        <v>1.001600250223521</v>
      </c>
      <c r="AS6" s="7">
        <v>1.001334727627804</v>
      </c>
      <c r="AT6" s="7">
        <v>1.00115270394771</v>
      </c>
      <c r="AU6" s="7">
        <v>1.000958149025331</v>
      </c>
      <c r="AV6" s="7">
        <v>1.000832172959194</v>
      </c>
      <c r="AW6" s="7">
        <v>1.000725205630045</v>
      </c>
      <c r="AX6" s="7">
        <v>1.000623187395716</v>
      </c>
      <c r="AY6" s="7">
        <v>1.000542261945406</v>
      </c>
      <c r="AZ6" s="7">
        <v>1.000469519568402</v>
      </c>
      <c r="BA6" s="7">
        <v>1.000396163534701</v>
      </c>
      <c r="BB6" s="7">
        <v>1.000335083439985</v>
      </c>
      <c r="BC6" s="7">
        <v>1.000288704482972</v>
      </c>
      <c r="BD6" s="7">
        <v>1.000245419742283</v>
      </c>
      <c r="BE6" s="7">
        <v>1.000213730515564</v>
      </c>
      <c r="BF6" s="7">
        <v>1.000181367651194</v>
      </c>
      <c r="BG6" s="7">
        <v>1.000158825692561</v>
      </c>
      <c r="BH6" s="7">
        <v>1.000138410772951</v>
      </c>
      <c r="BI6" s="7">
        <v>1.000116808187553</v>
      </c>
      <c r="BJ6" s="7">
        <v>1.000100633895318</v>
      </c>
      <c r="BK6" s="7">
        <v>1.000087129275384</v>
      </c>
      <c r="BL6" s="7">
        <v>1.0000740231324</v>
      </c>
      <c r="BM6" s="7">
        <v>1.000064572236482</v>
      </c>
      <c r="BN6" s="7">
        <v>1.000056021090308</v>
      </c>
      <c r="BO6" s="7">
        <v>1.000048189861849</v>
      </c>
      <c r="BP6" s="7">
        <v>1.000042330523685</v>
      </c>
      <c r="BQ6" s="7">
        <v>1.000036692661088</v>
      </c>
      <c r="BR6" s="7">
        <v>1.000031885947458</v>
      </c>
      <c r="BS6" s="7">
        <v>1.000027587881531</v>
      </c>
      <c r="BT6" s="7">
        <v>1.000023533028265</v>
      </c>
      <c r="BU6" s="7">
        <v>1.000020569779273</v>
      </c>
      <c r="BV6" s="7">
        <v>1.000017660506172</v>
      </c>
      <c r="BW6" s="7">
        <v>1.00001506373382</v>
      </c>
      <c r="BX6" s="7">
        <v>1.000013068771379</v>
      </c>
      <c r="BY6" s="7">
        <v>1.000011139727831</v>
      </c>
      <c r="BZ6" s="7">
        <v>1.000009539680803</v>
      </c>
      <c r="CA6" s="7">
        <v>1.00000822556827</v>
      </c>
      <c r="CB6" s="7">
        <v>1.000006958686757</v>
      </c>
      <c r="CC6" s="7">
        <v>1.000006073632595</v>
      </c>
      <c r="CD6" s="7">
        <v>1.000005423238683</v>
      </c>
      <c r="CE6" s="7">
        <v>1.000004793385978</v>
      </c>
      <c r="CF6" s="7">
        <v>1.000003911489922</v>
      </c>
    </row>
    <row r="7" spans="1:84">
      <c r="A7" t="s">
        <v>122</v>
      </c>
      <c r="B7" s="7">
        <v>1.135760043577435</v>
      </c>
      <c r="C7" s="7">
        <v>1.132309233214037</v>
      </c>
      <c r="D7" s="7">
        <v>1.128460753461359</v>
      </c>
      <c r="E7" s="7">
        <v>1.124357533954662</v>
      </c>
      <c r="F7" s="7">
        <v>1.119732981951356</v>
      </c>
      <c r="G7" s="7">
        <v>1.114830104054591</v>
      </c>
      <c r="H7" s="7">
        <v>1.10967536036669</v>
      </c>
      <c r="I7" s="7">
        <v>1.104324328635045</v>
      </c>
      <c r="J7" s="7">
        <v>1.098796944402334</v>
      </c>
      <c r="K7" s="7">
        <v>1.092980056600019</v>
      </c>
      <c r="L7" s="7">
        <v>1.087107960256255</v>
      </c>
      <c r="M7" s="7">
        <v>1.081094728692721</v>
      </c>
      <c r="N7" s="7">
        <v>1.075070535342402</v>
      </c>
      <c r="O7" s="7">
        <v>1.068980868429874</v>
      </c>
      <c r="P7" s="7">
        <v>1.063106175858908</v>
      </c>
      <c r="Q7" s="7">
        <v>1.057543989772442</v>
      </c>
      <c r="R7" s="7">
        <v>1.052136622954081</v>
      </c>
      <c r="S7" s="7">
        <v>1.047051286074839</v>
      </c>
      <c r="T7" s="7">
        <v>1.042141847704414</v>
      </c>
      <c r="U7" s="7">
        <v>1.037683369754584</v>
      </c>
      <c r="V7" s="7">
        <v>1.033438909794487</v>
      </c>
      <c r="W7" s="7">
        <v>1.029654044072899</v>
      </c>
      <c r="X7" s="7">
        <v>1.026177262502587</v>
      </c>
      <c r="Y7" s="7">
        <v>1.023052453252198</v>
      </c>
      <c r="Z7" s="7">
        <v>1.020230927925109</v>
      </c>
      <c r="AA7" s="7">
        <v>1.017720747157834</v>
      </c>
      <c r="AB7" s="7">
        <v>1.01543394517919</v>
      </c>
      <c r="AC7" s="7">
        <v>1.013507369680011</v>
      </c>
      <c r="AD7" s="7">
        <v>1.011680510571827</v>
      </c>
      <c r="AE7" s="7">
        <v>1.010153255390437</v>
      </c>
      <c r="AF7" s="7">
        <v>1.008821136302712</v>
      </c>
      <c r="AG7" s="7">
        <v>1.007674875415637</v>
      </c>
      <c r="AH7" s="7">
        <v>1.00664185312787</v>
      </c>
      <c r="AI7" s="7">
        <v>1.005764753332138</v>
      </c>
      <c r="AJ7" s="7">
        <v>1.004978649233581</v>
      </c>
      <c r="AK7" s="7">
        <v>1.004310614318301</v>
      </c>
      <c r="AL7" s="7">
        <v>1.003733674350123</v>
      </c>
      <c r="AM7" s="7">
        <v>1.003231798334233</v>
      </c>
      <c r="AN7" s="7">
        <v>1.002788970171667</v>
      </c>
      <c r="AO7" s="7">
        <v>1.002400789467706</v>
      </c>
      <c r="AP7" s="7">
        <v>1.002063483735224</v>
      </c>
      <c r="AQ7" s="7">
        <v>1.001784884124891</v>
      </c>
      <c r="AR7" s="7">
        <v>1.001534848025161</v>
      </c>
      <c r="AS7" s="7">
        <v>1.001318670481434</v>
      </c>
      <c r="AT7" s="7">
        <v>1.00113857446372</v>
      </c>
      <c r="AU7" s="7">
        <v>1.000976876717987</v>
      </c>
      <c r="AV7" s="7">
        <v>1.000841439265485</v>
      </c>
      <c r="AW7" s="7">
        <v>1.000726218192687</v>
      </c>
      <c r="AX7" s="7">
        <v>1.00062407728076</v>
      </c>
      <c r="AY7" s="7">
        <v>1.000538519411569</v>
      </c>
      <c r="AZ7" s="7">
        <v>1.000463262135367</v>
      </c>
      <c r="BA7" s="7">
        <v>1.000396424327192</v>
      </c>
      <c r="BB7" s="7">
        <v>1.000339337753576</v>
      </c>
      <c r="BC7" s="7">
        <v>1.000292014968989</v>
      </c>
      <c r="BD7" s="7">
        <v>1.000251218986131</v>
      </c>
      <c r="BE7" s="7">
        <v>1.000218333842521</v>
      </c>
      <c r="BF7" s="7">
        <v>1.00018828147524</v>
      </c>
      <c r="BG7" s="7">
        <v>1.000163746868821</v>
      </c>
      <c r="BH7" s="7">
        <v>1.000140443767804</v>
      </c>
      <c r="BI7" s="7">
        <v>1.00012058393468</v>
      </c>
      <c r="BJ7" s="7">
        <v>1.000103573654638</v>
      </c>
      <c r="BK7" s="7">
        <v>1.000088928348308</v>
      </c>
      <c r="BL7" s="7">
        <v>1.000076168531691</v>
      </c>
      <c r="BM7" s="7">
        <v>1.000065690497512</v>
      </c>
      <c r="BN7" s="7">
        <v>1.000056637585165</v>
      </c>
      <c r="BO7" s="7">
        <v>1.000048709552762</v>
      </c>
      <c r="BP7" s="7">
        <v>1.000042259312019</v>
      </c>
      <c r="BQ7" s="7">
        <v>1.000036703577317</v>
      </c>
      <c r="BR7" s="7">
        <v>1.000032069380503</v>
      </c>
      <c r="BS7" s="7">
        <v>1.000027788748045</v>
      </c>
      <c r="BT7" s="7">
        <v>1.000023542814352</v>
      </c>
      <c r="BU7" s="7">
        <v>1.000020569779273</v>
      </c>
      <c r="BV7" s="7">
        <v>1.000017660506172</v>
      </c>
      <c r="BW7" s="7">
        <v>1.00001506373382</v>
      </c>
      <c r="BX7" s="7">
        <v>1.000013068771379</v>
      </c>
      <c r="BY7" s="7">
        <v>1.000011139727831</v>
      </c>
      <c r="BZ7" s="7">
        <v>1.000009539680803</v>
      </c>
      <c r="CA7" s="7">
        <v>1.00000822556827</v>
      </c>
      <c r="CB7" s="7">
        <v>1.000006958686757</v>
      </c>
      <c r="CC7" s="7">
        <v>1.000006073632595</v>
      </c>
      <c r="CD7" s="7">
        <v>1.000005423238683</v>
      </c>
      <c r="CE7" s="7">
        <v>1.000004793385978</v>
      </c>
      <c r="CF7" s="7">
        <v>1.000003911489922</v>
      </c>
    </row>
    <row r="8" spans="1:84">
      <c r="A8" t="s">
        <v>123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7">
        <v>1</v>
      </c>
      <c r="BP8" s="7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7">
        <v>1</v>
      </c>
      <c r="CF8" s="7">
        <v>1</v>
      </c>
    </row>
    <row r="9" spans="1:84">
      <c r="A9" t="s">
        <v>124</v>
      </c>
      <c r="B9" s="7">
        <v>1.135240973665169</v>
      </c>
      <c r="C9" s="7">
        <v>1.13174401413685</v>
      </c>
      <c r="D9" s="7">
        <v>1.127834326672098</v>
      </c>
      <c r="E9" s="7">
        <v>1.123719657978106</v>
      </c>
      <c r="F9" s="7">
        <v>1.119020269781756</v>
      </c>
      <c r="G9" s="7">
        <v>1.114114871220393</v>
      </c>
      <c r="H9" s="7">
        <v>1.108920338720406</v>
      </c>
      <c r="I9" s="7">
        <v>1.103541793895987</v>
      </c>
      <c r="J9" s="7">
        <v>1.09800471099955</v>
      </c>
      <c r="K9" s="7">
        <v>1.092177750739128</v>
      </c>
      <c r="L9" s="7">
        <v>1.08637249860102</v>
      </c>
      <c r="M9" s="7">
        <v>1.080374789682408</v>
      </c>
      <c r="N9" s="7">
        <v>1.074369742981254</v>
      </c>
      <c r="O9" s="7">
        <v>1.068312109304491</v>
      </c>
      <c r="P9" s="7">
        <v>1.06248110869275</v>
      </c>
      <c r="Q9" s="7">
        <v>1.05697824859043</v>
      </c>
      <c r="R9" s="7">
        <v>1.051609005739549</v>
      </c>
      <c r="S9" s="7">
        <v>1.046553858232776</v>
      </c>
      <c r="T9" s="7">
        <v>1.041724585886859</v>
      </c>
      <c r="U9" s="7">
        <v>1.037307509271067</v>
      </c>
      <c r="V9" s="7">
        <v>1.033017210079791</v>
      </c>
      <c r="W9" s="7">
        <v>1.029272463132015</v>
      </c>
      <c r="X9" s="7">
        <v>1.025829487932074</v>
      </c>
      <c r="Y9" s="7">
        <v>1.022739661317147</v>
      </c>
      <c r="Z9" s="7">
        <v>1.019948887274969</v>
      </c>
      <c r="AA9" s="7">
        <v>1.017471681400414</v>
      </c>
      <c r="AB9" s="7">
        <v>1.015226385388318</v>
      </c>
      <c r="AC9" s="7">
        <v>1.013341741224019</v>
      </c>
      <c r="AD9" s="7">
        <v>1.011578742306942</v>
      </c>
      <c r="AE9" s="7">
        <v>1.010062348238635</v>
      </c>
      <c r="AF9" s="7">
        <v>1.008740514540883</v>
      </c>
      <c r="AG9" s="7">
        <v>1.007591932538392</v>
      </c>
      <c r="AH9" s="7">
        <v>1.006566250407074</v>
      </c>
      <c r="AI9" s="7">
        <v>1.005700823270051</v>
      </c>
      <c r="AJ9" s="7">
        <v>1.004923756732962</v>
      </c>
      <c r="AK9" s="7">
        <v>1.004258960885576</v>
      </c>
      <c r="AL9" s="7">
        <v>1.00369166188809</v>
      </c>
      <c r="AM9" s="7">
        <v>1.003193736581835</v>
      </c>
      <c r="AN9" s="7">
        <v>1.002755420912861</v>
      </c>
      <c r="AO9" s="7">
        <v>1.00237041445973</v>
      </c>
      <c r="AP9" s="7">
        <v>1.002041819930263</v>
      </c>
      <c r="AQ9" s="7">
        <v>1.001767795328563</v>
      </c>
      <c r="AR9" s="7">
        <v>1.001519063292817</v>
      </c>
      <c r="AS9" s="7">
        <v>1.001305056829345</v>
      </c>
      <c r="AT9" s="7">
        <v>1.001127218086637</v>
      </c>
      <c r="AU9" s="7">
        <v>1.000963737859983</v>
      </c>
      <c r="AV9" s="7">
        <v>1.000829783298708</v>
      </c>
      <c r="AW9" s="7">
        <v>1.000715751484979</v>
      </c>
      <c r="AX9" s="7">
        <v>1.000615013671236</v>
      </c>
      <c r="AY9" s="7">
        <v>1.000529941556238</v>
      </c>
      <c r="AZ9" s="7">
        <v>1.000455902766558</v>
      </c>
      <c r="BA9" s="7">
        <v>1.000391032752066</v>
      </c>
      <c r="BB9" s="7">
        <v>1.000335418409742</v>
      </c>
      <c r="BC9" s="7">
        <v>1.000288621670252</v>
      </c>
      <c r="BD9" s="7">
        <v>1.000248131708916</v>
      </c>
      <c r="BE9" s="7">
        <v>1.000214794986674</v>
      </c>
      <c r="BF9" s="7">
        <v>1.000185254284106</v>
      </c>
      <c r="BG9" s="7">
        <v>1.000161405693901</v>
      </c>
      <c r="BH9" s="7">
        <v>1.000138572739886</v>
      </c>
      <c r="BI9" s="7">
        <v>1.000118912656246</v>
      </c>
      <c r="BJ9" s="7">
        <v>1.000102080677308</v>
      </c>
      <c r="BK9" s="7">
        <v>1.000087751531041</v>
      </c>
      <c r="BL9" s="7">
        <v>1.000075227505279</v>
      </c>
      <c r="BM9" s="7">
        <v>1.000064827268381</v>
      </c>
      <c r="BN9" s="7">
        <v>1.000055841700463</v>
      </c>
      <c r="BO9" s="7">
        <v>1.000048012344201</v>
      </c>
      <c r="BP9" s="7">
        <v>1.000041781116172</v>
      </c>
      <c r="BQ9" s="7">
        <v>1.00003626657292</v>
      </c>
      <c r="BR9" s="7">
        <v>1.000031628084226</v>
      </c>
      <c r="BS9" s="7">
        <v>1.000027466897154</v>
      </c>
      <c r="BT9" s="7">
        <v>1.00002321143629</v>
      </c>
      <c r="BU9" s="7">
        <v>1.000020376185738</v>
      </c>
      <c r="BV9" s="7">
        <v>1.000017495284184</v>
      </c>
      <c r="BW9" s="7">
        <v>1.00001495316249</v>
      </c>
      <c r="BX9" s="7">
        <v>1.000012947739338</v>
      </c>
      <c r="BY9" s="7">
        <v>1.000011098047916</v>
      </c>
      <c r="BZ9" s="7">
        <v>1.000009532829958</v>
      </c>
      <c r="CA9" s="7">
        <v>1.000008214058241</v>
      </c>
      <c r="CB9" s="7">
        <v>1.000006988696381</v>
      </c>
      <c r="CC9" s="7">
        <v>1.000006056082468</v>
      </c>
      <c r="CD9" s="7">
        <v>1.000005398488931</v>
      </c>
      <c r="CE9" s="7">
        <v>1.000004903863607</v>
      </c>
      <c r="CF9" s="7">
        <v>1.000003911489922</v>
      </c>
    </row>
    <row r="11" spans="1:84">
      <c r="A11" s="6" t="s">
        <v>125</v>
      </c>
    </row>
    <row r="12" spans="1:84">
      <c r="A12" s="3" t="s">
        <v>126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3">
        <v>14</v>
      </c>
      <c r="P12" s="3">
        <v>15</v>
      </c>
      <c r="Q12" s="3">
        <v>16</v>
      </c>
      <c r="R12" s="3">
        <v>17</v>
      </c>
      <c r="S12" s="3">
        <v>18</v>
      </c>
      <c r="T12" s="3">
        <v>19</v>
      </c>
      <c r="U12" s="3">
        <v>20</v>
      </c>
      <c r="V12" s="3">
        <v>21</v>
      </c>
      <c r="W12" s="3">
        <v>22</v>
      </c>
      <c r="X12" s="3">
        <v>23</v>
      </c>
      <c r="Y12" s="3">
        <v>24</v>
      </c>
      <c r="Z12" s="3">
        <v>25</v>
      </c>
      <c r="AA12" s="3">
        <v>26</v>
      </c>
      <c r="AB12" s="3">
        <v>27</v>
      </c>
      <c r="AC12" s="3">
        <v>28</v>
      </c>
      <c r="AD12" s="3">
        <v>29</v>
      </c>
      <c r="AE12" s="3">
        <v>30</v>
      </c>
      <c r="AF12" s="3">
        <v>31</v>
      </c>
      <c r="AG12" s="3">
        <v>32</v>
      </c>
      <c r="AH12" s="3">
        <v>33</v>
      </c>
      <c r="AI12" s="3">
        <v>34</v>
      </c>
      <c r="AJ12" s="3">
        <v>35</v>
      </c>
      <c r="AK12" s="3">
        <v>36</v>
      </c>
      <c r="AL12" s="3">
        <v>37</v>
      </c>
      <c r="AM12" s="3">
        <v>38</v>
      </c>
      <c r="AN12" s="3">
        <v>39</v>
      </c>
      <c r="AO12" s="3">
        <v>40</v>
      </c>
      <c r="AP12" s="3">
        <v>41</v>
      </c>
      <c r="AQ12" s="3">
        <v>42</v>
      </c>
      <c r="AR12" s="3">
        <v>43</v>
      </c>
      <c r="AS12" s="3">
        <v>44</v>
      </c>
      <c r="AT12" s="3">
        <v>45</v>
      </c>
      <c r="AU12" s="3">
        <v>46</v>
      </c>
      <c r="AV12" s="3">
        <v>47</v>
      </c>
      <c r="AW12" s="3">
        <v>48</v>
      </c>
      <c r="AX12" s="3">
        <v>49</v>
      </c>
      <c r="AY12" s="3">
        <v>50</v>
      </c>
      <c r="AZ12" s="3">
        <v>51</v>
      </c>
      <c r="BA12" s="3">
        <v>52</v>
      </c>
      <c r="BB12" s="3">
        <v>53</v>
      </c>
      <c r="BC12" s="3">
        <v>54</v>
      </c>
      <c r="BD12" s="3">
        <v>55</v>
      </c>
      <c r="BE12" s="3">
        <v>56</v>
      </c>
      <c r="BF12" s="3">
        <v>57</v>
      </c>
      <c r="BG12" s="3">
        <v>58</v>
      </c>
      <c r="BH12" s="3">
        <v>59</v>
      </c>
      <c r="BI12" s="3">
        <v>60</v>
      </c>
      <c r="BJ12" s="3">
        <v>61</v>
      </c>
      <c r="BK12" s="3">
        <v>62</v>
      </c>
      <c r="BL12" s="3">
        <v>63</v>
      </c>
      <c r="BM12" s="3">
        <v>64</v>
      </c>
      <c r="BN12" s="3">
        <v>65</v>
      </c>
      <c r="BO12" s="3">
        <v>66</v>
      </c>
      <c r="BP12" s="3">
        <v>67</v>
      </c>
      <c r="BQ12" s="3">
        <v>68</v>
      </c>
      <c r="BR12" s="3">
        <v>69</v>
      </c>
      <c r="BS12" s="3">
        <v>70</v>
      </c>
      <c r="BT12" s="3">
        <v>71</v>
      </c>
      <c r="BU12" s="3">
        <v>72</v>
      </c>
      <c r="BV12" s="3">
        <v>73</v>
      </c>
      <c r="BW12" s="3">
        <v>74</v>
      </c>
      <c r="BX12" s="3">
        <v>75</v>
      </c>
      <c r="BY12" s="3">
        <v>76</v>
      </c>
      <c r="BZ12" s="3">
        <v>77</v>
      </c>
      <c r="CA12" s="3">
        <v>78</v>
      </c>
      <c r="CB12" s="3">
        <v>79</v>
      </c>
      <c r="CC12" s="3">
        <v>80</v>
      </c>
      <c r="CD12" s="3">
        <v>81</v>
      </c>
      <c r="CE12" s="3">
        <v>82</v>
      </c>
      <c r="CF12" s="3">
        <v>83</v>
      </c>
    </row>
    <row r="13" spans="1:84">
      <c r="A13" t="s">
        <v>127</v>
      </c>
      <c r="B13" s="7">
        <v>1.135240973665169</v>
      </c>
      <c r="C13" s="7">
        <v>1.13174401413685</v>
      </c>
      <c r="D13" s="7">
        <v>1.127834326672098</v>
      </c>
      <c r="E13" s="7">
        <v>1.123719657978106</v>
      </c>
      <c r="F13" s="7">
        <v>1.119020269781756</v>
      </c>
      <c r="G13" s="7">
        <v>1.114114871220393</v>
      </c>
      <c r="H13" s="7">
        <v>1.108920338720406</v>
      </c>
      <c r="I13" s="7">
        <v>1.103541793895987</v>
      </c>
      <c r="J13" s="7">
        <v>1.09800471099955</v>
      </c>
      <c r="K13" s="7">
        <v>1.092177750739128</v>
      </c>
      <c r="L13" s="7">
        <v>1.08637249860102</v>
      </c>
      <c r="M13" s="7">
        <v>1.080374789682408</v>
      </c>
      <c r="N13" s="7">
        <v>1.074369742981254</v>
      </c>
      <c r="O13" s="7">
        <v>1.068312109304491</v>
      </c>
      <c r="P13" s="7">
        <v>1.06248110869275</v>
      </c>
      <c r="Q13" s="7">
        <v>1.05697824859043</v>
      </c>
      <c r="R13" s="7">
        <v>1.051609005739549</v>
      </c>
      <c r="S13" s="7">
        <v>1.046553858232776</v>
      </c>
      <c r="T13" s="7">
        <v>1.041724585886859</v>
      </c>
      <c r="U13" s="7">
        <v>1.037307509271067</v>
      </c>
      <c r="V13" s="7">
        <v>1.033017210079791</v>
      </c>
      <c r="W13" s="7">
        <v>1.029272463132015</v>
      </c>
      <c r="X13" s="7">
        <v>1.025829487932074</v>
      </c>
      <c r="Y13" s="7">
        <v>1.022739661317147</v>
      </c>
      <c r="Z13" s="7">
        <v>1.019948887274969</v>
      </c>
      <c r="AA13" s="7">
        <v>1.017471681400414</v>
      </c>
      <c r="AB13" s="7">
        <v>1.015226385388318</v>
      </c>
      <c r="AC13" s="7">
        <v>1.013341741224019</v>
      </c>
      <c r="AD13" s="7">
        <v>1.011578742306942</v>
      </c>
      <c r="AE13" s="7">
        <v>1.010062348238635</v>
      </c>
      <c r="AF13" s="7">
        <v>1.008740514540883</v>
      </c>
      <c r="AG13" s="7">
        <v>1.007591932538392</v>
      </c>
      <c r="AH13" s="7">
        <v>1.006566250407074</v>
      </c>
      <c r="AI13" s="7">
        <v>1.005700823270051</v>
      </c>
      <c r="AJ13" s="7">
        <v>1.004923756732962</v>
      </c>
      <c r="AK13" s="7">
        <v>1.004258960885576</v>
      </c>
      <c r="AL13" s="7">
        <v>1.00369166188809</v>
      </c>
      <c r="AM13" s="7">
        <v>1.003193736581835</v>
      </c>
      <c r="AN13" s="7">
        <v>1.002755420912861</v>
      </c>
      <c r="AO13" s="7">
        <v>1.00237041445973</v>
      </c>
      <c r="AP13" s="7">
        <v>1.002041819930263</v>
      </c>
      <c r="AQ13" s="7">
        <v>1.001767795328563</v>
      </c>
      <c r="AR13" s="7">
        <v>1.001519063292817</v>
      </c>
      <c r="AS13" s="7">
        <v>1.001305056829345</v>
      </c>
      <c r="AT13" s="7">
        <v>1.001127218086637</v>
      </c>
      <c r="AU13" s="7">
        <v>1.000963737859983</v>
      </c>
      <c r="AV13" s="7">
        <v>1.000829783298708</v>
      </c>
      <c r="AW13" s="7">
        <v>1.000715751484979</v>
      </c>
      <c r="AX13" s="7">
        <v>1.000615013671236</v>
      </c>
      <c r="AY13" s="7">
        <v>1.000529941556238</v>
      </c>
      <c r="AZ13" s="7">
        <v>1.000455902766558</v>
      </c>
      <c r="BA13" s="7">
        <v>1.000391032752066</v>
      </c>
      <c r="BB13" s="7">
        <v>1.000335418409742</v>
      </c>
      <c r="BC13" s="7">
        <v>1.000288621670252</v>
      </c>
      <c r="BD13" s="7">
        <v>1.000248131708916</v>
      </c>
      <c r="BE13" s="7">
        <v>1.000214794986674</v>
      </c>
      <c r="BF13" s="7">
        <v>1.000185254284106</v>
      </c>
      <c r="BG13" s="7">
        <v>1.000161405693901</v>
      </c>
      <c r="BH13" s="7">
        <v>1.000138572739886</v>
      </c>
      <c r="BI13" s="7">
        <v>1.000118912656246</v>
      </c>
      <c r="BJ13" s="7">
        <v>1.000102080677308</v>
      </c>
      <c r="BK13" s="7">
        <v>1.000087751531041</v>
      </c>
      <c r="BL13" s="7">
        <v>1.000075227505279</v>
      </c>
      <c r="BM13" s="7">
        <v>1.000064827268381</v>
      </c>
      <c r="BN13" s="7">
        <v>1.000055841700463</v>
      </c>
      <c r="BO13" s="7">
        <v>1.000048012344201</v>
      </c>
      <c r="BP13" s="7">
        <v>1.000041781116172</v>
      </c>
      <c r="BQ13" s="7">
        <v>1.00003626657292</v>
      </c>
      <c r="BR13" s="7">
        <v>1.000031628084226</v>
      </c>
      <c r="BS13" s="7">
        <v>1.000027466897154</v>
      </c>
      <c r="BT13" s="7">
        <v>1.00002321143629</v>
      </c>
      <c r="BU13" s="7">
        <v>1.000020376185738</v>
      </c>
      <c r="BV13" s="7">
        <v>1.000017495284184</v>
      </c>
      <c r="BW13" s="7">
        <v>1.00001495316249</v>
      </c>
      <c r="BX13" s="7">
        <v>1.000012947739338</v>
      </c>
      <c r="BY13" s="7">
        <v>1.000011098047916</v>
      </c>
      <c r="BZ13" s="7">
        <v>1.000009532829958</v>
      </c>
      <c r="CA13" s="7">
        <v>1.000008214058241</v>
      </c>
      <c r="CB13" s="7">
        <v>1.000006988696381</v>
      </c>
      <c r="CC13" s="7">
        <v>1.000006056082468</v>
      </c>
      <c r="CD13" s="7">
        <v>1.000005398488931</v>
      </c>
      <c r="CE13" s="7">
        <v>1.000004903863607</v>
      </c>
      <c r="CF13" s="7">
        <v>1.000003911489922</v>
      </c>
    </row>
    <row r="14" spans="1:84">
      <c r="A14" t="s">
        <v>128</v>
      </c>
      <c r="B14" s="7">
        <v>1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7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</row>
    <row r="15" spans="1:84">
      <c r="A15" t="s">
        <v>129</v>
      </c>
      <c r="B15" s="7">
        <v>6.955658564288101</v>
      </c>
      <c r="C15" s="7">
        <v>6.127032696707109</v>
      </c>
      <c r="D15" s="7">
        <v>5.41379730767123</v>
      </c>
      <c r="E15" s="7">
        <v>4.800170716248485</v>
      </c>
      <c r="F15" s="7">
        <v>4.27167993562146</v>
      </c>
      <c r="G15" s="7">
        <v>3.817339194807055</v>
      </c>
      <c r="H15" s="7">
        <v>3.426342555346713</v>
      </c>
      <c r="I15" s="7">
        <v>3.08980044436772</v>
      </c>
      <c r="J15" s="7">
        <v>2.799894359650275</v>
      </c>
      <c r="K15" s="7">
        <v>2.5499839222925</v>
      </c>
      <c r="L15" s="7">
        <v>2.334770068852627</v>
      </c>
      <c r="M15" s="7">
        <v>2.14914320075226</v>
      </c>
      <c r="N15" s="7">
        <v>1.989257081224593</v>
      </c>
      <c r="O15" s="7">
        <v>1.851557244812788</v>
      </c>
      <c r="P15" s="7">
        <v>1.733161338045879</v>
      </c>
      <c r="Q15" s="7">
        <v>1.631239674631314</v>
      </c>
      <c r="R15" s="7">
        <v>1.543304866307997</v>
      </c>
      <c r="S15" s="7">
        <v>1.467565281283095</v>
      </c>
      <c r="T15" s="7">
        <v>1.402283570729216</v>
      </c>
      <c r="U15" s="7">
        <v>1.346117380473841</v>
      </c>
      <c r="V15" s="7">
        <v>1.297703302485277</v>
      </c>
      <c r="W15" s="7">
        <v>1.256226217552602</v>
      </c>
      <c r="X15" s="7">
        <v>1.22049919972597</v>
      </c>
      <c r="Y15" s="7">
        <v>1.189768098971616</v>
      </c>
      <c r="Z15" s="7">
        <v>1.163314716317307</v>
      </c>
      <c r="AA15" s="7">
        <v>1.140561777978281</v>
      </c>
      <c r="AB15" s="7">
        <v>1.120976434851189</v>
      </c>
      <c r="AC15" s="7">
        <v>1.104164008131469</v>
      </c>
      <c r="AD15" s="7">
        <v>1.089626493425352</v>
      </c>
      <c r="AE15" s="7">
        <v>1.07715440020064</v>
      </c>
      <c r="AF15" s="7">
        <v>1.066423673824691</v>
      </c>
      <c r="AG15" s="7">
        <v>1.057183347404324</v>
      </c>
      <c r="AH15" s="7">
        <v>1.049217756975285</v>
      </c>
      <c r="AI15" s="7">
        <v>1.042373273046819</v>
      </c>
      <c r="AJ15" s="7">
        <v>1.0364645716979</v>
      </c>
      <c r="AK15" s="7">
        <v>1.031386276574333</v>
      </c>
      <c r="AL15" s="7">
        <v>1.027012271481089</v>
      </c>
      <c r="AM15" s="7">
        <v>1.02323483444022</v>
      </c>
      <c r="AN15" s="7">
        <v>1.019977295638498</v>
      </c>
      <c r="AO15" s="7">
        <v>1.01717455160697</v>
      </c>
      <c r="AP15" s="7">
        <v>1.014769128192215</v>
      </c>
      <c r="AQ15" s="7">
        <v>1.012701374342678</v>
      </c>
      <c r="AR15" s="7">
        <v>1.010914284792443</v>
      </c>
      <c r="AS15" s="7">
        <v>1.00938097121061</v>
      </c>
      <c r="AT15" s="7">
        <v>1.008065388590804</v>
      </c>
      <c r="AU15" s="7">
        <v>1.006930358478743</v>
      </c>
      <c r="AV15" s="7">
        <v>1.00596087589698</v>
      </c>
      <c r="AW15" s="7">
        <v>1.005126838433364</v>
      </c>
      <c r="AX15" s="7">
        <v>1.004407931964536</v>
      </c>
      <c r="AY15" s="7">
        <v>1.003790587030454</v>
      </c>
      <c r="AZ15" s="7">
        <v>1.003258918437907</v>
      </c>
      <c r="BA15" s="7">
        <v>1.002801738351084</v>
      </c>
      <c r="BB15" s="7">
        <v>1.002409763302642</v>
      </c>
      <c r="BC15" s="7">
        <v>1.002073649352731</v>
      </c>
      <c r="BD15" s="7">
        <v>1.001784512633462</v>
      </c>
      <c r="BE15" s="7">
        <v>1.001535999794293</v>
      </c>
      <c r="BF15" s="7">
        <v>1.001320921080392</v>
      </c>
      <c r="BG15" s="7">
        <v>1.001135456448115</v>
      </c>
      <c r="BH15" s="7">
        <v>1.000973893562248</v>
      </c>
      <c r="BI15" s="7">
        <v>1.000835205085705</v>
      </c>
      <c r="BJ15" s="7">
        <v>1.000716207263351</v>
      </c>
      <c r="BK15" s="7">
        <v>1.000614063901984</v>
      </c>
      <c r="BL15" s="7">
        <v>1.000526266190279</v>
      </c>
      <c r="BM15" s="7">
        <v>1.000451004757037</v>
      </c>
      <c r="BN15" s="7">
        <v>1.000386152455447</v>
      </c>
      <c r="BO15" s="7">
        <v>1.000330292310899</v>
      </c>
      <c r="BP15" s="7">
        <v>1.000282266414426</v>
      </c>
      <c r="BQ15" s="7">
        <v>1.000240475250929</v>
      </c>
      <c r="BR15" s="7">
        <v>1.000204201272329</v>
      </c>
      <c r="BS15" s="7">
        <v>1.000172567730116</v>
      </c>
      <c r="BT15" s="7">
        <v>1.000145096847602</v>
      </c>
      <c r="BU15" s="7">
        <v>1.000121882582242</v>
      </c>
      <c r="BV15" s="7">
        <v>1.000101504328233</v>
      </c>
      <c r="BW15" s="7">
        <v>1.000084007574313</v>
      </c>
      <c r="BX15" s="7">
        <v>1.000069053379257</v>
      </c>
      <c r="BY15" s="7">
        <v>1.000056104913487</v>
      </c>
      <c r="BZ15" s="7">
        <v>1.000045006366088</v>
      </c>
      <c r="CA15" s="7">
        <v>1.00003547319797</v>
      </c>
      <c r="CB15" s="7">
        <v>1.000027258915823</v>
      </c>
      <c r="CC15" s="7">
        <v>1.00002027007778</v>
      </c>
      <c r="CD15" s="7">
        <v>1.000014213909231</v>
      </c>
      <c r="CE15" s="7">
        <v>1.00000881537271</v>
      </c>
      <c r="CF15" s="7">
        <v>1.000003911489922</v>
      </c>
    </row>
    <row r="16" spans="1:84">
      <c r="A16" t="s">
        <v>130</v>
      </c>
      <c r="B16" s="7">
        <v>1</v>
      </c>
      <c r="C16" s="7">
        <v>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</row>
    <row r="17" spans="1:84">
      <c r="A17" t="s">
        <v>131</v>
      </c>
      <c r="B17" s="8">
        <v>0.1437678389123673</v>
      </c>
      <c r="C17" s="8">
        <v>0.163211141428613</v>
      </c>
      <c r="D17" s="8">
        <v>0.1847132323522756</v>
      </c>
      <c r="E17" s="8">
        <v>0.2083259240374555</v>
      </c>
      <c r="F17" s="8">
        <v>0.2340999361073423</v>
      </c>
      <c r="G17" s="8">
        <v>0.2619625736587299</v>
      </c>
      <c r="H17" s="8">
        <v>0.2918563990163586</v>
      </c>
      <c r="I17" s="8">
        <v>0.3236454968549383</v>
      </c>
      <c r="J17" s="8">
        <v>0.3571563321856566</v>
      </c>
      <c r="K17" s="8">
        <v>0.3921593353031712</v>
      </c>
      <c r="L17" s="8">
        <v>0.4283077007627689</v>
      </c>
      <c r="M17" s="8">
        <v>0.4653017070477073</v>
      </c>
      <c r="N17" s="8">
        <v>0.5027002338905321</v>
      </c>
      <c r="O17" s="8">
        <v>0.540085921081587</v>
      </c>
      <c r="P17" s="8">
        <v>0.5769803295563294</v>
      </c>
      <c r="Q17" s="8">
        <v>0.6130307002409171</v>
      </c>
      <c r="R17" s="8">
        <v>0.6479601158728093</v>
      </c>
      <c r="S17" s="8">
        <v>0.6814006932118879</v>
      </c>
      <c r="T17" s="8">
        <v>0.7131225244833895</v>
      </c>
      <c r="U17" s="8">
        <v>0.7428772665040507</v>
      </c>
      <c r="V17" s="8">
        <v>0.7705921670114156</v>
      </c>
      <c r="W17" s="8">
        <v>0.7960349704754728</v>
      </c>
      <c r="X17" s="8">
        <v>0.8193368748005104</v>
      </c>
      <c r="Y17" s="8">
        <v>0.8404999267204731</v>
      </c>
      <c r="Z17" s="8">
        <v>0.8596126103911838</v>
      </c>
      <c r="AA17" s="8">
        <v>0.876760925456019</v>
      </c>
      <c r="AB17" s="8">
        <v>0.892079413009919</v>
      </c>
      <c r="AC17" s="8">
        <v>0.9056625579493929</v>
      </c>
      <c r="AD17" s="8">
        <v>0.9177456734338368</v>
      </c>
      <c r="AE17" s="8">
        <v>0.9283720140898385</v>
      </c>
      <c r="AF17" s="8">
        <v>0.9377136165906133</v>
      </c>
      <c r="AG17" s="8">
        <v>0.9459097160916077</v>
      </c>
      <c r="AH17" s="8">
        <v>0.9530909988435846</v>
      </c>
      <c r="AI17" s="8">
        <v>0.9593492330027195</v>
      </c>
      <c r="AJ17" s="8">
        <v>0.9648183134343269</v>
      </c>
      <c r="AK17" s="8">
        <v>0.9695688441011837</v>
      </c>
      <c r="AL17" s="8">
        <v>0.9736981998840839</v>
      </c>
      <c r="AM17" s="8">
        <v>0.9772927644190977</v>
      </c>
      <c r="AN17" s="8">
        <v>0.9804139800719857</v>
      </c>
      <c r="AO17" s="8">
        <v>0.9831154332559375</v>
      </c>
      <c r="AP17" s="8">
        <v>0.9854458242945111</v>
      </c>
      <c r="AQ17" s="8">
        <v>0.9874579272187501</v>
      </c>
      <c r="AR17" s="8">
        <v>0.9892035507296404</v>
      </c>
      <c r="AS17" s="8">
        <v>0.9907062135326776</v>
      </c>
      <c r="AT17" s="8">
        <v>0.9919991414425225</v>
      </c>
      <c r="AU17" s="8">
        <v>0.9931173408166846</v>
      </c>
      <c r="AV17" s="8">
        <v>0.994074445597435</v>
      </c>
      <c r="AW17" s="8">
        <v>0.994899311970064</v>
      </c>
      <c r="AX17" s="8">
        <v>0.9956114126300113</v>
      </c>
      <c r="AY17" s="8">
        <v>0.9962237272600172</v>
      </c>
      <c r="AZ17" s="8">
        <v>0.9967516676124029</v>
      </c>
      <c r="BA17" s="8">
        <v>0.9972060894552385</v>
      </c>
      <c r="BB17" s="8">
        <v>0.9975960296967753</v>
      </c>
      <c r="BC17" s="8">
        <v>0.9979306417706215</v>
      </c>
      <c r="BD17" s="8">
        <v>0.9982186661792454</v>
      </c>
      <c r="BE17" s="8">
        <v>0.9984663558827561</v>
      </c>
      <c r="BF17" s="8">
        <v>0.9986808214503626</v>
      </c>
      <c r="BG17" s="8">
        <v>0.9988658313509904</v>
      </c>
      <c r="BH17" s="8">
        <v>0.9990270539836137</v>
      </c>
      <c r="BI17" s="8">
        <v>0.9991654918997048</v>
      </c>
      <c r="BJ17" s="8">
        <v>0.9992843053223758</v>
      </c>
      <c r="BK17" s="8">
        <v>0.9993863129410859</v>
      </c>
      <c r="BL17" s="8">
        <v>0.9994740106201483</v>
      </c>
      <c r="BM17" s="8">
        <v>0.9995491985565588</v>
      </c>
      <c r="BN17" s="8">
        <v>0.9996139966007135</v>
      </c>
      <c r="BO17" s="8">
        <v>0.9996698167460908</v>
      </c>
      <c r="BP17" s="8">
        <v>0.9997178132374199</v>
      </c>
      <c r="BQ17" s="8">
        <v>0.9997595825635143</v>
      </c>
      <c r="BR17" s="8">
        <v>0.9997958404173176</v>
      </c>
      <c r="BS17" s="8">
        <v>0.9998274620443675</v>
      </c>
      <c r="BT17" s="8">
        <v>0.9998549242024392</v>
      </c>
      <c r="BU17" s="8">
        <v>0.9998781322713115</v>
      </c>
      <c r="BV17" s="8">
        <v>0.9998985059738501</v>
      </c>
      <c r="BW17" s="8">
        <v>0.999915999482367</v>
      </c>
      <c r="BX17" s="8">
        <v>0.9999309513887833</v>
      </c>
      <c r="BY17" s="8">
        <v>0.9999438982340981</v>
      </c>
      <c r="BZ17" s="8">
        <v>0.9999549956593938</v>
      </c>
      <c r="CA17" s="8">
        <v>0.999964528060333</v>
      </c>
      <c r="CB17" s="8">
        <v>0.9999727418272056</v>
      </c>
      <c r="CC17" s="8">
        <v>0.9999797303330876</v>
      </c>
      <c r="CD17" s="8">
        <v>0.999985786292801</v>
      </c>
      <c r="CE17" s="8">
        <v>0.9999911847049998</v>
      </c>
      <c r="CF17" s="8">
        <v>0.9999960885253781</v>
      </c>
    </row>
    <row r="18" spans="1:84">
      <c r="A18" t="s">
        <v>132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6"/>
  <sheetViews>
    <sheetView workbookViewId="0"/>
  </sheetViews>
  <sheetFormatPr defaultRowHeight="15"/>
  <cols>
    <col min="1" max="1" width="14.7109375" customWidth="1"/>
    <col min="2" max="3" width="24.7109375" customWidth="1"/>
    <col min="4" max="11" width="20.7109375" customWidth="1"/>
  </cols>
  <sheetData>
    <row r="1" spans="1:11">
      <c r="A1" s="3" t="s">
        <v>133</v>
      </c>
    </row>
    <row r="2" spans="1:11">
      <c r="A2" s="3" t="s">
        <v>33</v>
      </c>
      <c r="B2" s="3" t="s">
        <v>134</v>
      </c>
      <c r="C2" s="3" t="s">
        <v>135</v>
      </c>
      <c r="D2" s="3" t="s">
        <v>136</v>
      </c>
      <c r="E2" s="3" t="s">
        <v>129</v>
      </c>
      <c r="F2" s="3" t="s">
        <v>131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</row>
    <row r="3" spans="1:11">
      <c r="A3" t="s">
        <v>34</v>
      </c>
      <c r="B3" t="s">
        <v>142</v>
      </c>
      <c r="D3" s="4">
        <v>268376.2534695262</v>
      </c>
      <c r="E3" s="7">
        <v>1</v>
      </c>
      <c r="F3" s="8">
        <v>1</v>
      </c>
      <c r="G3" s="4">
        <v>268376.2534695262</v>
      </c>
      <c r="H3" s="4">
        <v>0</v>
      </c>
      <c r="I3" s="9" t="s">
        <v>143</v>
      </c>
      <c r="J3" s="9" t="s">
        <v>143</v>
      </c>
      <c r="K3" s="9" t="s">
        <v>143</v>
      </c>
    </row>
    <row r="4" spans="1:11">
      <c r="A4" t="s">
        <v>35</v>
      </c>
      <c r="B4" t="s">
        <v>144</v>
      </c>
      <c r="C4" t="s">
        <v>142</v>
      </c>
      <c r="D4" s="4">
        <v>696764.1109134787</v>
      </c>
      <c r="E4" s="7">
        <v>1.000003911489922</v>
      </c>
      <c r="F4" s="8">
        <v>0.9999960885253781</v>
      </c>
      <c r="G4" s="4">
        <v>696766.8362992762</v>
      </c>
      <c r="H4" s="4">
        <v>2.725385797559284</v>
      </c>
      <c r="I4" s="9" t="s">
        <v>143</v>
      </c>
      <c r="J4" s="9" t="s">
        <v>143</v>
      </c>
      <c r="K4" s="9" t="s">
        <v>143</v>
      </c>
    </row>
    <row r="5" spans="1:11">
      <c r="A5" t="s">
        <v>36</v>
      </c>
      <c r="B5" t="s">
        <v>145</v>
      </c>
      <c r="C5" t="s">
        <v>144</v>
      </c>
      <c r="D5" s="4">
        <v>1080824.544707305</v>
      </c>
      <c r="E5" s="7">
        <v>1.00000881537271</v>
      </c>
      <c r="F5" s="8">
        <v>0.9999911847049998</v>
      </c>
      <c r="G5" s="4">
        <v>1080834.072578501</v>
      </c>
      <c r="H5" s="4">
        <v>9.5278711959254</v>
      </c>
      <c r="I5" s="9" t="s">
        <v>143</v>
      </c>
      <c r="J5" s="9" t="s">
        <v>143</v>
      </c>
      <c r="K5" s="9" t="s">
        <v>143</v>
      </c>
    </row>
    <row r="6" spans="1:11">
      <c r="A6" t="s">
        <v>37</v>
      </c>
      <c r="B6" t="s">
        <v>146</v>
      </c>
      <c r="C6" t="s">
        <v>145</v>
      </c>
      <c r="D6" s="4">
        <v>665486.701010737</v>
      </c>
      <c r="E6" s="7">
        <v>1.000014213909231</v>
      </c>
      <c r="F6" s="8">
        <v>0.999985786292801</v>
      </c>
      <c r="G6" s="4">
        <v>665496.1601782999</v>
      </c>
      <c r="H6" s="4">
        <v>9.459167562890798</v>
      </c>
      <c r="I6" s="9" t="s">
        <v>143</v>
      </c>
      <c r="J6" s="9" t="s">
        <v>143</v>
      </c>
      <c r="K6" s="9" t="s">
        <v>143</v>
      </c>
    </row>
    <row r="7" spans="1:11">
      <c r="A7" t="s">
        <v>38</v>
      </c>
      <c r="B7" t="s">
        <v>147</v>
      </c>
      <c r="C7" t="s">
        <v>146</v>
      </c>
      <c r="D7" s="4">
        <v>305209.9905762523</v>
      </c>
      <c r="E7" s="7">
        <v>1.00002027007778</v>
      </c>
      <c r="F7" s="8">
        <v>0.9999797303330876</v>
      </c>
      <c r="G7" s="4">
        <v>305216.1772065005</v>
      </c>
      <c r="H7" s="4">
        <v>6.18663024820853</v>
      </c>
      <c r="I7" s="9" t="s">
        <v>143</v>
      </c>
      <c r="J7" s="9" t="s">
        <v>143</v>
      </c>
      <c r="K7" s="9" t="s">
        <v>143</v>
      </c>
    </row>
    <row r="8" spans="1:11">
      <c r="A8" t="s">
        <v>39</v>
      </c>
      <c r="B8" t="s">
        <v>148</v>
      </c>
      <c r="C8" t="s">
        <v>147</v>
      </c>
      <c r="D8" s="4">
        <v>398074.7080228073</v>
      </c>
      <c r="E8" s="7">
        <v>1.000027258915823</v>
      </c>
      <c r="F8" s="8">
        <v>0.9999727418272056</v>
      </c>
      <c r="G8" s="4">
        <v>398085.5591077644</v>
      </c>
      <c r="H8" s="4">
        <v>10.85108495707391</v>
      </c>
      <c r="I8" s="9" t="s">
        <v>143</v>
      </c>
      <c r="J8" s="9" t="s">
        <v>143</v>
      </c>
      <c r="K8" s="9" t="s">
        <v>143</v>
      </c>
    </row>
    <row r="9" spans="1:11">
      <c r="A9" t="s">
        <v>40</v>
      </c>
      <c r="B9" t="s">
        <v>149</v>
      </c>
      <c r="C9" t="s">
        <v>148</v>
      </c>
      <c r="D9" s="4">
        <v>375857.3912946385</v>
      </c>
      <c r="E9" s="7">
        <v>1.00003547319797</v>
      </c>
      <c r="F9" s="8">
        <v>0.999964528060333</v>
      </c>
      <c r="G9" s="4">
        <v>375870.7241582884</v>
      </c>
      <c r="H9" s="4">
        <v>13.33286364993546</v>
      </c>
      <c r="I9" s="9" t="s">
        <v>143</v>
      </c>
      <c r="J9" s="9" t="s">
        <v>143</v>
      </c>
      <c r="K9" s="9" t="s">
        <v>143</v>
      </c>
    </row>
    <row r="10" spans="1:11">
      <c r="A10" t="s">
        <v>41</v>
      </c>
      <c r="B10" t="s">
        <v>150</v>
      </c>
      <c r="C10" t="s">
        <v>149</v>
      </c>
      <c r="D10" s="4">
        <v>196441.8214491536</v>
      </c>
      <c r="E10" s="7">
        <v>1.000045006366088</v>
      </c>
      <c r="F10" s="8">
        <v>0.9999549956593938</v>
      </c>
      <c r="G10" s="4">
        <v>196450.6625816847</v>
      </c>
      <c r="H10" s="4">
        <v>8.841132531117182</v>
      </c>
      <c r="I10" s="9" t="s">
        <v>143</v>
      </c>
      <c r="J10" s="9" t="s">
        <v>143</v>
      </c>
      <c r="K10" s="9" t="s">
        <v>143</v>
      </c>
    </row>
    <row r="11" spans="1:11">
      <c r="A11" t="s">
        <v>42</v>
      </c>
      <c r="B11" t="s">
        <v>151</v>
      </c>
      <c r="C11" t="s">
        <v>150</v>
      </c>
      <c r="D11" s="4">
        <v>189417.2562290788</v>
      </c>
      <c r="E11" s="7">
        <v>1.000056104913487</v>
      </c>
      <c r="F11" s="8">
        <v>0.9999438982340981</v>
      </c>
      <c r="G11" s="4">
        <v>189427.8834678524</v>
      </c>
      <c r="H11" s="4">
        <v>10.62723877359531</v>
      </c>
      <c r="I11" s="9" t="s">
        <v>143</v>
      </c>
      <c r="J11" s="9" t="s">
        <v>143</v>
      </c>
      <c r="K11" s="9" t="s">
        <v>143</v>
      </c>
    </row>
    <row r="12" spans="1:11">
      <c r="A12" t="s">
        <v>43</v>
      </c>
      <c r="B12" t="s">
        <v>152</v>
      </c>
      <c r="C12" t="s">
        <v>151</v>
      </c>
      <c r="D12" s="4">
        <v>387383.8401871618</v>
      </c>
      <c r="E12" s="7">
        <v>1.000069053379257</v>
      </c>
      <c r="F12" s="8">
        <v>0.9999309513887833</v>
      </c>
      <c r="G12" s="4">
        <v>387410.5903503962</v>
      </c>
      <c r="H12" s="4">
        <v>26.75016323436284</v>
      </c>
      <c r="I12" s="9" t="s">
        <v>143</v>
      </c>
      <c r="J12" s="9" t="s">
        <v>143</v>
      </c>
      <c r="K12" s="9" t="s">
        <v>143</v>
      </c>
    </row>
    <row r="13" spans="1:11">
      <c r="A13" t="s">
        <v>44</v>
      </c>
      <c r="B13" t="s">
        <v>153</v>
      </c>
      <c r="C13" t="s">
        <v>152</v>
      </c>
      <c r="D13" s="4">
        <v>317992.1817103905</v>
      </c>
      <c r="E13" s="7">
        <v>1.000084007574313</v>
      </c>
      <c r="F13" s="8">
        <v>0.999915999482367</v>
      </c>
      <c r="G13" s="4">
        <v>318018.8954622264</v>
      </c>
      <c r="H13" s="4">
        <v>26.71375183592318</v>
      </c>
      <c r="I13" s="9" t="s">
        <v>143</v>
      </c>
      <c r="J13" s="9" t="s">
        <v>143</v>
      </c>
      <c r="K13" s="9" t="s">
        <v>143</v>
      </c>
    </row>
    <row r="14" spans="1:11">
      <c r="A14" t="s">
        <v>45</v>
      </c>
      <c r="B14" t="s">
        <v>154</v>
      </c>
      <c r="C14" t="s">
        <v>153</v>
      </c>
      <c r="D14" s="4">
        <v>320341.7780403297</v>
      </c>
      <c r="E14" s="7">
        <v>1.000101504328233</v>
      </c>
      <c r="F14" s="8">
        <v>0.9998985059738501</v>
      </c>
      <c r="G14" s="4">
        <v>320374.2941173146</v>
      </c>
      <c r="H14" s="4">
        <v>32.51607698493171</v>
      </c>
      <c r="I14" s="9" t="s">
        <v>143</v>
      </c>
      <c r="J14" s="9" t="s">
        <v>143</v>
      </c>
      <c r="K14" s="9" t="s">
        <v>143</v>
      </c>
    </row>
    <row r="15" spans="1:11">
      <c r="A15" t="s">
        <v>46</v>
      </c>
      <c r="B15" t="s">
        <v>155</v>
      </c>
      <c r="C15" t="s">
        <v>154</v>
      </c>
      <c r="D15" s="4">
        <v>610795.8848163723</v>
      </c>
      <c r="E15" s="7">
        <v>1.000121882582242</v>
      </c>
      <c r="F15" s="8">
        <v>0.9998781322713115</v>
      </c>
      <c r="G15" s="4">
        <v>610870.3301960365</v>
      </c>
      <c r="H15" s="4">
        <v>74.44537966419011</v>
      </c>
      <c r="I15" s="9" t="s">
        <v>143</v>
      </c>
      <c r="J15" s="9" t="s">
        <v>143</v>
      </c>
      <c r="K15" s="9" t="s">
        <v>143</v>
      </c>
    </row>
    <row r="16" spans="1:11">
      <c r="A16" t="s">
        <v>47</v>
      </c>
      <c r="B16" t="s">
        <v>156</v>
      </c>
      <c r="C16" t="s">
        <v>155</v>
      </c>
      <c r="D16" s="4">
        <v>484312.2913047043</v>
      </c>
      <c r="E16" s="7">
        <v>1.000145096847602</v>
      </c>
      <c r="F16" s="8">
        <v>0.9998549242024392</v>
      </c>
      <c r="G16" s="4">
        <v>484382.5634914275</v>
      </c>
      <c r="H16" s="4">
        <v>70.27218672313029</v>
      </c>
      <c r="I16" s="9" t="s">
        <v>143</v>
      </c>
      <c r="J16" s="9" t="s">
        <v>143</v>
      </c>
      <c r="K16" s="9" t="s">
        <v>143</v>
      </c>
    </row>
    <row r="17" spans="1:11">
      <c r="A17" t="s">
        <v>48</v>
      </c>
      <c r="B17" t="s">
        <v>157</v>
      </c>
      <c r="C17" t="s">
        <v>156</v>
      </c>
      <c r="D17" s="4">
        <v>691311.2071397695</v>
      </c>
      <c r="E17" s="7">
        <v>1.000172567730116</v>
      </c>
      <c r="F17" s="8">
        <v>0.9998274620443675</v>
      </c>
      <c r="G17" s="4">
        <v>691430.5051455892</v>
      </c>
      <c r="H17" s="4">
        <v>119.2980058197863</v>
      </c>
      <c r="I17" s="9" t="s">
        <v>143</v>
      </c>
      <c r="J17" s="9" t="s">
        <v>143</v>
      </c>
      <c r="K17" s="9" t="s">
        <v>143</v>
      </c>
    </row>
    <row r="18" spans="1:11">
      <c r="A18" t="s">
        <v>49</v>
      </c>
      <c r="B18" t="s">
        <v>158</v>
      </c>
      <c r="C18" t="s">
        <v>157</v>
      </c>
      <c r="D18" s="4">
        <v>424553.1113525354</v>
      </c>
      <c r="E18" s="7">
        <v>1.000204201272329</v>
      </c>
      <c r="F18" s="8">
        <v>0.9997958404173176</v>
      </c>
      <c r="G18" s="4">
        <v>424639.8056380447</v>
      </c>
      <c r="H18" s="4">
        <v>86.69428550935118</v>
      </c>
      <c r="I18" s="9" t="s">
        <v>143</v>
      </c>
      <c r="J18" s="9" t="s">
        <v>143</v>
      </c>
      <c r="K18" s="9" t="s">
        <v>143</v>
      </c>
    </row>
    <row r="19" spans="1:11">
      <c r="A19" t="s">
        <v>50</v>
      </c>
      <c r="B19" t="s">
        <v>159</v>
      </c>
      <c r="C19" t="s">
        <v>158</v>
      </c>
      <c r="D19" s="4">
        <v>463722.0168203284</v>
      </c>
      <c r="E19" s="7">
        <v>1.000240475250929</v>
      </c>
      <c r="F19" s="8">
        <v>0.9997595825635143</v>
      </c>
      <c r="G19" s="4">
        <v>463833.5304886847</v>
      </c>
      <c r="H19" s="4">
        <v>111.5136683562305</v>
      </c>
      <c r="I19" s="9" t="s">
        <v>143</v>
      </c>
      <c r="J19" s="9" t="s">
        <v>143</v>
      </c>
      <c r="K19" s="9" t="s">
        <v>143</v>
      </c>
    </row>
    <row r="20" spans="1:11">
      <c r="A20" t="s">
        <v>51</v>
      </c>
      <c r="B20" t="s">
        <v>160</v>
      </c>
      <c r="C20" t="s">
        <v>159</v>
      </c>
      <c r="D20" s="4">
        <v>708039.1266162744</v>
      </c>
      <c r="E20" s="7">
        <v>1.000282266414426</v>
      </c>
      <c r="F20" s="8">
        <v>0.9997178132374199</v>
      </c>
      <c r="G20" s="4">
        <v>708238.9822818175</v>
      </c>
      <c r="H20" s="4">
        <v>199.8556655431166</v>
      </c>
      <c r="I20" s="9" t="s">
        <v>143</v>
      </c>
      <c r="J20" s="9" t="s">
        <v>143</v>
      </c>
      <c r="K20" s="9" t="s">
        <v>143</v>
      </c>
    </row>
    <row r="21" spans="1:11">
      <c r="A21" t="s">
        <v>52</v>
      </c>
      <c r="B21" t="s">
        <v>161</v>
      </c>
      <c r="C21" t="s">
        <v>160</v>
      </c>
      <c r="D21" s="4">
        <v>321158.555924011</v>
      </c>
      <c r="E21" s="7">
        <v>1.000330292310899</v>
      </c>
      <c r="F21" s="8">
        <v>0.9996698167460908</v>
      </c>
      <c r="G21" s="4">
        <v>321264.6321256122</v>
      </c>
      <c r="H21" s="4">
        <v>106.0762016011868</v>
      </c>
      <c r="I21" s="9" t="s">
        <v>143</v>
      </c>
      <c r="J21" s="9" t="s">
        <v>143</v>
      </c>
      <c r="K21" s="9" t="s">
        <v>143</v>
      </c>
    </row>
    <row r="22" spans="1:11">
      <c r="A22" t="s">
        <v>53</v>
      </c>
      <c r="B22" t="s">
        <v>162</v>
      </c>
      <c r="C22" t="s">
        <v>161</v>
      </c>
      <c r="D22" s="4">
        <v>351177.006204221</v>
      </c>
      <c r="E22" s="7">
        <v>1.000386152455447</v>
      </c>
      <c r="F22" s="8">
        <v>0.9996139966007135</v>
      </c>
      <c r="G22" s="4">
        <v>351312.6140674633</v>
      </c>
      <c r="H22" s="4">
        <v>135.6078632422723</v>
      </c>
      <c r="I22" s="9" t="s">
        <v>143</v>
      </c>
      <c r="J22" s="9" t="s">
        <v>143</v>
      </c>
      <c r="K22" s="9" t="s">
        <v>143</v>
      </c>
    </row>
    <row r="23" spans="1:11">
      <c r="A23" t="s">
        <v>54</v>
      </c>
      <c r="B23" t="s">
        <v>163</v>
      </c>
      <c r="C23" t="s">
        <v>162</v>
      </c>
      <c r="D23" s="4">
        <v>394763.1445004353</v>
      </c>
      <c r="E23" s="7">
        <v>1.000451004757037</v>
      </c>
      <c r="F23" s="8">
        <v>0.9995491985565588</v>
      </c>
      <c r="G23" s="4">
        <v>394941.1845565077</v>
      </c>
      <c r="H23" s="4">
        <v>178.0400560724665</v>
      </c>
      <c r="I23" s="9" t="s">
        <v>143</v>
      </c>
      <c r="J23" s="9" t="s">
        <v>143</v>
      </c>
      <c r="K23" s="9" t="s">
        <v>143</v>
      </c>
    </row>
    <row r="24" spans="1:11">
      <c r="A24" t="s">
        <v>55</v>
      </c>
      <c r="B24" t="s">
        <v>164</v>
      </c>
      <c r="C24" t="s">
        <v>163</v>
      </c>
      <c r="D24" s="4">
        <v>330133.1053991969</v>
      </c>
      <c r="E24" s="7">
        <v>1.000526266190279</v>
      </c>
      <c r="F24" s="8">
        <v>0.9994740106201483</v>
      </c>
      <c r="G24" s="4">
        <v>330306.8432908602</v>
      </c>
      <c r="H24" s="4">
        <v>173.7378916633315</v>
      </c>
      <c r="I24" s="9" t="s">
        <v>143</v>
      </c>
      <c r="J24" s="9" t="s">
        <v>143</v>
      </c>
      <c r="K24" s="9" t="s">
        <v>143</v>
      </c>
    </row>
    <row r="25" spans="1:11">
      <c r="A25" t="s">
        <v>56</v>
      </c>
      <c r="B25" t="s">
        <v>165</v>
      </c>
      <c r="C25" t="s">
        <v>164</v>
      </c>
      <c r="D25" s="4">
        <v>188018.2449275403</v>
      </c>
      <c r="E25" s="7">
        <v>1.000614063901984</v>
      </c>
      <c r="F25" s="8">
        <v>0.9993863129410859</v>
      </c>
      <c r="G25" s="4">
        <v>188133.7001446647</v>
      </c>
      <c r="H25" s="4">
        <v>115.4552171243995</v>
      </c>
      <c r="I25" s="9" t="s">
        <v>143</v>
      </c>
      <c r="J25" s="9" t="s">
        <v>143</v>
      </c>
      <c r="K25" s="9" t="s">
        <v>143</v>
      </c>
    </row>
    <row r="26" spans="1:11">
      <c r="A26" t="s">
        <v>57</v>
      </c>
      <c r="B26" t="s">
        <v>166</v>
      </c>
      <c r="C26" t="s">
        <v>165</v>
      </c>
      <c r="D26" s="4">
        <v>429341.642213236</v>
      </c>
      <c r="E26" s="7">
        <v>1.000716207263351</v>
      </c>
      <c r="F26" s="8">
        <v>0.9992843053223758</v>
      </c>
      <c r="G26" s="4">
        <v>429649.139815848</v>
      </c>
      <c r="H26" s="4">
        <v>307.497602612013</v>
      </c>
      <c r="I26" s="9" t="s">
        <v>143</v>
      </c>
      <c r="J26" s="9" t="s">
        <v>143</v>
      </c>
      <c r="K26" s="9" t="s">
        <v>143</v>
      </c>
    </row>
    <row r="27" spans="1:11">
      <c r="A27" t="s">
        <v>58</v>
      </c>
      <c r="B27" t="s">
        <v>167</v>
      </c>
      <c r="C27" t="s">
        <v>166</v>
      </c>
      <c r="D27" s="4">
        <v>433894.6782140864</v>
      </c>
      <c r="E27" s="7">
        <v>1.000835205085705</v>
      </c>
      <c r="F27" s="8">
        <v>0.9991654918997048</v>
      </c>
      <c r="G27" s="4">
        <v>434257.069255991</v>
      </c>
      <c r="H27" s="4">
        <v>362.3910419045715</v>
      </c>
      <c r="I27" s="9" t="s">
        <v>143</v>
      </c>
      <c r="J27" s="9" t="s">
        <v>143</v>
      </c>
      <c r="K27" s="9" t="s">
        <v>143</v>
      </c>
    </row>
    <row r="28" spans="1:11">
      <c r="A28" t="s">
        <v>59</v>
      </c>
      <c r="B28" t="s">
        <v>168</v>
      </c>
      <c r="C28" t="s">
        <v>167</v>
      </c>
      <c r="D28" s="4">
        <v>274337.0639128502</v>
      </c>
      <c r="E28" s="7">
        <v>1.000973893562248</v>
      </c>
      <c r="F28" s="8">
        <v>0.9990270539836137</v>
      </c>
      <c r="G28" s="4">
        <v>274604.239013281</v>
      </c>
      <c r="H28" s="4">
        <v>267.175100430788</v>
      </c>
      <c r="I28" s="9" t="s">
        <v>143</v>
      </c>
      <c r="J28" s="9" t="s">
        <v>143</v>
      </c>
      <c r="K28" s="9" t="s">
        <v>143</v>
      </c>
    </row>
    <row r="29" spans="1:11">
      <c r="A29" t="s">
        <v>60</v>
      </c>
      <c r="B29" t="s">
        <v>169</v>
      </c>
      <c r="C29" t="s">
        <v>168</v>
      </c>
      <c r="D29" s="4">
        <v>535860.2297060619</v>
      </c>
      <c r="E29" s="7">
        <v>1.001135456448115</v>
      </c>
      <c r="F29" s="8">
        <v>0.9988658313509904</v>
      </c>
      <c r="G29" s="4">
        <v>536468.6756591703</v>
      </c>
      <c r="H29" s="4">
        <v>608.4459531083703</v>
      </c>
      <c r="I29" s="9" t="s">
        <v>143</v>
      </c>
      <c r="J29" s="9" t="s">
        <v>143</v>
      </c>
      <c r="K29" s="9" t="s">
        <v>143</v>
      </c>
    </row>
    <row r="30" spans="1:11">
      <c r="A30" t="s">
        <v>61</v>
      </c>
      <c r="B30" t="s">
        <v>170</v>
      </c>
      <c r="C30" t="s">
        <v>169</v>
      </c>
      <c r="D30" s="4">
        <v>712291.0215150747</v>
      </c>
      <c r="E30" s="7">
        <v>1.001320921080392</v>
      </c>
      <c r="F30" s="8">
        <v>0.9986808214503626</v>
      </c>
      <c r="G30" s="4">
        <v>713231.9017407681</v>
      </c>
      <c r="H30" s="4">
        <v>940.8802256934578</v>
      </c>
      <c r="I30" s="9" t="s">
        <v>143</v>
      </c>
      <c r="J30" s="9" t="s">
        <v>143</v>
      </c>
      <c r="K30" s="9" t="s">
        <v>143</v>
      </c>
    </row>
    <row r="31" spans="1:11">
      <c r="A31" t="s">
        <v>62</v>
      </c>
      <c r="B31" t="s">
        <v>171</v>
      </c>
      <c r="C31" t="s">
        <v>170</v>
      </c>
      <c r="D31" s="4">
        <v>268665.2297384222</v>
      </c>
      <c r="E31" s="7">
        <v>1.001535999794293</v>
      </c>
      <c r="F31" s="8">
        <v>0.9984663558827561</v>
      </c>
      <c r="G31" s="4">
        <v>269077.899476034</v>
      </c>
      <c r="H31" s="4">
        <v>412.6697376117809</v>
      </c>
      <c r="I31" s="9" t="s">
        <v>143</v>
      </c>
      <c r="J31" s="9" t="s">
        <v>143</v>
      </c>
      <c r="K31" s="9" t="s">
        <v>143</v>
      </c>
    </row>
    <row r="32" spans="1:11">
      <c r="A32" t="s">
        <v>63</v>
      </c>
      <c r="B32" t="s">
        <v>172</v>
      </c>
      <c r="C32" t="s">
        <v>171</v>
      </c>
      <c r="D32" s="4">
        <v>542922.3162266446</v>
      </c>
      <c r="E32" s="7">
        <v>1.001784512633462</v>
      </c>
      <c r="F32" s="8">
        <v>0.9982186661792454</v>
      </c>
      <c r="G32" s="4">
        <v>543891.1679589396</v>
      </c>
      <c r="H32" s="4">
        <v>968.8517322950065</v>
      </c>
      <c r="I32" s="9" t="s">
        <v>143</v>
      </c>
      <c r="J32" s="9" t="s">
        <v>143</v>
      </c>
      <c r="K32" s="9" t="s">
        <v>143</v>
      </c>
    </row>
    <row r="33" spans="1:11">
      <c r="A33" t="s">
        <v>64</v>
      </c>
      <c r="B33" t="s">
        <v>173</v>
      </c>
      <c r="C33" t="s">
        <v>172</v>
      </c>
      <c r="D33" s="4">
        <v>282248.219716366</v>
      </c>
      <c r="E33" s="7">
        <v>1.002073649352731</v>
      </c>
      <c r="F33" s="8">
        <v>0.9979306417706215</v>
      </c>
      <c r="G33" s="4">
        <v>282833.5035544905</v>
      </c>
      <c r="H33" s="4">
        <v>585.2838381244219</v>
      </c>
      <c r="I33" s="9" t="s">
        <v>143</v>
      </c>
      <c r="J33" s="9" t="s">
        <v>143</v>
      </c>
      <c r="K33" s="9" t="s">
        <v>143</v>
      </c>
    </row>
    <row r="34" spans="1:11">
      <c r="A34" t="s">
        <v>65</v>
      </c>
      <c r="B34" t="s">
        <v>174</v>
      </c>
      <c r="C34" t="s">
        <v>173</v>
      </c>
      <c r="D34" s="4">
        <v>259994.994437558</v>
      </c>
      <c r="E34" s="7">
        <v>1.002409763302642</v>
      </c>
      <c r="F34" s="8">
        <v>0.9975960296967753</v>
      </c>
      <c r="G34" s="4">
        <v>260621.5208340243</v>
      </c>
      <c r="H34" s="4">
        <v>626.5263964662736</v>
      </c>
      <c r="I34" s="9" t="s">
        <v>143</v>
      </c>
      <c r="J34" s="9" t="s">
        <v>143</v>
      </c>
      <c r="K34" s="9" t="s">
        <v>143</v>
      </c>
    </row>
    <row r="35" spans="1:11">
      <c r="A35" t="s">
        <v>66</v>
      </c>
      <c r="B35" t="s">
        <v>175</v>
      </c>
      <c r="C35" t="s">
        <v>174</v>
      </c>
      <c r="D35" s="4">
        <v>247920.6191170629</v>
      </c>
      <c r="E35" s="7">
        <v>1.002801738351084</v>
      </c>
      <c r="F35" s="8">
        <v>0.9972060894552385</v>
      </c>
      <c r="G35" s="4">
        <v>248615.2278236677</v>
      </c>
      <c r="H35" s="4">
        <v>694.6087066048349</v>
      </c>
      <c r="I35" s="9" t="s">
        <v>143</v>
      </c>
      <c r="J35" s="9" t="s">
        <v>143</v>
      </c>
      <c r="K35" s="9" t="s">
        <v>143</v>
      </c>
    </row>
    <row r="36" spans="1:11">
      <c r="A36" t="s">
        <v>67</v>
      </c>
      <c r="B36" t="s">
        <v>176</v>
      </c>
      <c r="C36" t="s">
        <v>175</v>
      </c>
      <c r="D36" s="4">
        <v>271927.1119367682</v>
      </c>
      <c r="E36" s="7">
        <v>1.003258918437907</v>
      </c>
      <c r="F36" s="8">
        <v>0.9967516676124029</v>
      </c>
      <c r="G36" s="4">
        <v>272813.3002156259</v>
      </c>
      <c r="H36" s="4">
        <v>886.1882788576768</v>
      </c>
      <c r="I36" s="9" t="s">
        <v>143</v>
      </c>
      <c r="J36" s="9" t="s">
        <v>143</v>
      </c>
      <c r="K36" s="9" t="s">
        <v>143</v>
      </c>
    </row>
    <row r="37" spans="1:11">
      <c r="A37" t="s">
        <v>68</v>
      </c>
      <c r="B37" t="s">
        <v>177</v>
      </c>
      <c r="C37" t="s">
        <v>176</v>
      </c>
      <c r="D37" s="4">
        <v>151978.2380753194</v>
      </c>
      <c r="E37" s="7">
        <v>1.003790587030454</v>
      </c>
      <c r="F37" s="8">
        <v>0.9962237272600172</v>
      </c>
      <c r="G37" s="4">
        <v>152554.324813479</v>
      </c>
      <c r="H37" s="4">
        <v>576.0867381596181</v>
      </c>
      <c r="I37" s="9" t="s">
        <v>143</v>
      </c>
      <c r="J37" s="9" t="s">
        <v>143</v>
      </c>
      <c r="K37" s="9" t="s">
        <v>143</v>
      </c>
    </row>
    <row r="38" spans="1:11">
      <c r="A38" t="s">
        <v>69</v>
      </c>
      <c r="B38" t="s">
        <v>178</v>
      </c>
      <c r="C38" t="s">
        <v>177</v>
      </c>
      <c r="D38" s="4">
        <v>362520.8104047547</v>
      </c>
      <c r="E38" s="7">
        <v>1.004407931964536</v>
      </c>
      <c r="F38" s="8">
        <v>0.9956114126300113</v>
      </c>
      <c r="G38" s="4">
        <v>364118.7774727473</v>
      </c>
      <c r="H38" s="4">
        <v>1597.967067992606</v>
      </c>
      <c r="I38" s="9" t="s">
        <v>143</v>
      </c>
      <c r="J38" s="9" t="s">
        <v>143</v>
      </c>
      <c r="K38" s="9" t="s">
        <v>143</v>
      </c>
    </row>
    <row r="39" spans="1:11">
      <c r="A39" t="s">
        <v>70</v>
      </c>
      <c r="B39" t="s">
        <v>179</v>
      </c>
      <c r="C39" t="s">
        <v>178</v>
      </c>
      <c r="D39" s="4">
        <v>360564.7736760952</v>
      </c>
      <c r="E39" s="7">
        <v>1.005126838433364</v>
      </c>
      <c r="F39" s="8">
        <v>0.994899311970064</v>
      </c>
      <c r="G39" s="4">
        <v>362413.3310154952</v>
      </c>
      <c r="H39" s="4">
        <v>1848.557339399995</v>
      </c>
      <c r="I39" s="9" t="s">
        <v>143</v>
      </c>
      <c r="J39" s="9" t="s">
        <v>143</v>
      </c>
      <c r="K39" s="9" t="s">
        <v>143</v>
      </c>
    </row>
    <row r="40" spans="1:11">
      <c r="A40" t="s">
        <v>71</v>
      </c>
      <c r="B40" t="s">
        <v>180</v>
      </c>
      <c r="C40" t="s">
        <v>179</v>
      </c>
      <c r="D40" s="4">
        <v>447200.609348435</v>
      </c>
      <c r="E40" s="7">
        <v>1.00596087589698</v>
      </c>
      <c r="F40" s="8">
        <v>0.994074445597435</v>
      </c>
      <c r="G40" s="4">
        <v>449866.3166818146</v>
      </c>
      <c r="H40" s="4">
        <v>2665.707333379658</v>
      </c>
      <c r="I40" s="9" t="s">
        <v>143</v>
      </c>
      <c r="J40" s="9" t="s">
        <v>143</v>
      </c>
      <c r="K40" s="9" t="s">
        <v>143</v>
      </c>
    </row>
    <row r="41" spans="1:11">
      <c r="A41" t="s">
        <v>72</v>
      </c>
      <c r="B41" t="s">
        <v>181</v>
      </c>
      <c r="C41" t="s">
        <v>180</v>
      </c>
      <c r="D41" s="4">
        <v>707093.2913122353</v>
      </c>
      <c r="E41" s="7">
        <v>1.006930358478743</v>
      </c>
      <c r="F41" s="8">
        <v>0.9931173408166846</v>
      </c>
      <c r="G41" s="4">
        <v>711993.7012989431</v>
      </c>
      <c r="H41" s="4">
        <v>4900.409986707848</v>
      </c>
      <c r="I41" s="9" t="s">
        <v>143</v>
      </c>
      <c r="J41" s="9" t="s">
        <v>143</v>
      </c>
      <c r="K41" s="9" t="s">
        <v>143</v>
      </c>
    </row>
    <row r="42" spans="1:11">
      <c r="A42" t="s">
        <v>73</v>
      </c>
      <c r="B42" t="s">
        <v>182</v>
      </c>
      <c r="C42" t="s">
        <v>181</v>
      </c>
      <c r="D42" s="4">
        <v>560584.6117357074</v>
      </c>
      <c r="E42" s="7">
        <v>1.008065388590804</v>
      </c>
      <c r="F42" s="8">
        <v>0.9919991414425225</v>
      </c>
      <c r="G42" s="4">
        <v>565105.9444673805</v>
      </c>
      <c r="H42" s="4">
        <v>4521.332731673145</v>
      </c>
      <c r="I42" s="9" t="s">
        <v>143</v>
      </c>
      <c r="J42" s="9" t="s">
        <v>143</v>
      </c>
      <c r="K42" s="9" t="s">
        <v>143</v>
      </c>
    </row>
    <row r="43" spans="1:11">
      <c r="A43" t="s">
        <v>74</v>
      </c>
      <c r="B43" t="s">
        <v>183</v>
      </c>
      <c r="C43" t="s">
        <v>182</v>
      </c>
      <c r="D43" s="4">
        <v>392181.9191564673</v>
      </c>
      <c r="E43" s="7">
        <v>1.00938097121061</v>
      </c>
      <c r="F43" s="8">
        <v>0.9907062135326776</v>
      </c>
      <c r="G43" s="4">
        <v>395860.9664493958</v>
      </c>
      <c r="H43" s="4">
        <v>3679.047292928561</v>
      </c>
      <c r="I43" s="9" t="s">
        <v>143</v>
      </c>
      <c r="J43" s="9" t="s">
        <v>143</v>
      </c>
      <c r="K43" s="9" t="s">
        <v>143</v>
      </c>
    </row>
    <row r="44" spans="1:11">
      <c r="A44" t="s">
        <v>75</v>
      </c>
      <c r="B44" t="s">
        <v>184</v>
      </c>
      <c r="C44" t="s">
        <v>183</v>
      </c>
      <c r="D44" s="4">
        <v>492501.6179409126</v>
      </c>
      <c r="E44" s="7">
        <v>1.010914284792443</v>
      </c>
      <c r="F44" s="8">
        <v>0.9892035507296404</v>
      </c>
      <c r="G44" s="4">
        <v>497876.9208598589</v>
      </c>
      <c r="H44" s="4">
        <v>5375.302918946312</v>
      </c>
      <c r="I44" s="9" t="s">
        <v>143</v>
      </c>
      <c r="J44" s="9" t="s">
        <v>143</v>
      </c>
      <c r="K44" s="9" t="s">
        <v>143</v>
      </c>
    </row>
    <row r="45" spans="1:11">
      <c r="A45" t="s">
        <v>76</v>
      </c>
      <c r="B45" t="s">
        <v>185</v>
      </c>
      <c r="C45" t="s">
        <v>184</v>
      </c>
      <c r="D45" s="4">
        <v>585859.7923381639</v>
      </c>
      <c r="E45" s="7">
        <v>1.012701374342678</v>
      </c>
      <c r="F45" s="8">
        <v>0.9874579272187501</v>
      </c>
      <c r="G45" s="4">
        <v>593301.0168729743</v>
      </c>
      <c r="H45" s="4">
        <v>7441.224534810404</v>
      </c>
      <c r="I45" s="9" t="s">
        <v>143</v>
      </c>
      <c r="J45" s="9" t="s">
        <v>143</v>
      </c>
      <c r="K45" s="9" t="s">
        <v>143</v>
      </c>
    </row>
    <row r="46" spans="1:11">
      <c r="A46" t="s">
        <v>77</v>
      </c>
      <c r="B46" t="s">
        <v>186</v>
      </c>
      <c r="C46" t="s">
        <v>185</v>
      </c>
      <c r="D46" s="4">
        <v>147022.2935583321</v>
      </c>
      <c r="E46" s="7">
        <v>1.014769128192215</v>
      </c>
      <c r="F46" s="8">
        <v>0.9854458242945111</v>
      </c>
      <c r="G46" s="4">
        <v>149193.6846590086</v>
      </c>
      <c r="H46" s="4">
        <v>2171.391100676527</v>
      </c>
      <c r="I46" s="9" t="s">
        <v>143</v>
      </c>
      <c r="J46" s="9" t="s">
        <v>143</v>
      </c>
      <c r="K46" s="9" t="s">
        <v>143</v>
      </c>
    </row>
    <row r="47" spans="1:11">
      <c r="A47" t="s">
        <v>78</v>
      </c>
      <c r="B47" t="s">
        <v>187</v>
      </c>
      <c r="C47" t="s">
        <v>186</v>
      </c>
      <c r="D47" s="4">
        <v>470913.2775429101</v>
      </c>
      <c r="E47" s="7">
        <v>1.01717455160697</v>
      </c>
      <c r="F47" s="8">
        <v>0.9831154332559375</v>
      </c>
      <c r="G47" s="4">
        <v>479001.001930478</v>
      </c>
      <c r="H47" s="4">
        <v>8087.724387567956</v>
      </c>
      <c r="I47" s="9" t="s">
        <v>143</v>
      </c>
      <c r="J47" s="9" t="s">
        <v>143</v>
      </c>
      <c r="K47" s="9" t="s">
        <v>143</v>
      </c>
    </row>
    <row r="48" spans="1:11">
      <c r="A48" t="s">
        <v>79</v>
      </c>
      <c r="B48" t="s">
        <v>188</v>
      </c>
      <c r="C48" t="s">
        <v>187</v>
      </c>
      <c r="D48" s="4">
        <v>417499.5915820809</v>
      </c>
      <c r="E48" s="7">
        <v>1.019977295638498</v>
      </c>
      <c r="F48" s="8">
        <v>0.9804139800719857</v>
      </c>
      <c r="G48" s="4">
        <v>425840.1043520682</v>
      </c>
      <c r="H48" s="4">
        <v>8340.512769987341</v>
      </c>
      <c r="I48" s="9" t="s">
        <v>143</v>
      </c>
      <c r="J48" s="9" t="s">
        <v>143</v>
      </c>
      <c r="K48" s="9" t="s">
        <v>143</v>
      </c>
    </row>
    <row r="49" spans="1:11">
      <c r="A49" t="s">
        <v>80</v>
      </c>
      <c r="B49" t="s">
        <v>189</v>
      </c>
      <c r="C49" t="s">
        <v>188</v>
      </c>
      <c r="D49" s="4">
        <v>353257.3524277939</v>
      </c>
      <c r="E49" s="7">
        <v>1.02323483444022</v>
      </c>
      <c r="F49" s="8">
        <v>0.9772927644190977</v>
      </c>
      <c r="G49" s="4">
        <v>361465.228526244</v>
      </c>
      <c r="H49" s="4">
        <v>8207.876098450099</v>
      </c>
      <c r="I49" s="9" t="s">
        <v>143</v>
      </c>
      <c r="J49" s="9" t="s">
        <v>143</v>
      </c>
      <c r="K49" s="9" t="s">
        <v>143</v>
      </c>
    </row>
    <row r="50" spans="1:11">
      <c r="A50" t="s">
        <v>81</v>
      </c>
      <c r="B50" t="s">
        <v>190</v>
      </c>
      <c r="C50" t="s">
        <v>189</v>
      </c>
      <c r="D50" s="4">
        <v>582982.805848389</v>
      </c>
      <c r="E50" s="7">
        <v>1.027012271481089</v>
      </c>
      <c r="F50" s="8">
        <v>0.9736981998840839</v>
      </c>
      <c r="G50" s="4">
        <v>598730.4956687725</v>
      </c>
      <c r="H50" s="4">
        <v>15747.68982038344</v>
      </c>
      <c r="I50" s="9" t="s">
        <v>143</v>
      </c>
      <c r="J50" s="9" t="s">
        <v>143</v>
      </c>
      <c r="K50" s="9" t="s">
        <v>143</v>
      </c>
    </row>
    <row r="51" spans="1:11">
      <c r="A51" t="s">
        <v>82</v>
      </c>
      <c r="B51" t="s">
        <v>191</v>
      </c>
      <c r="C51" t="s">
        <v>190</v>
      </c>
      <c r="D51" s="4">
        <v>178207.5582051922</v>
      </c>
      <c r="E51" s="7">
        <v>1.031386276574333</v>
      </c>
      <c r="F51" s="8">
        <v>0.9695688441011837</v>
      </c>
      <c r="G51" s="4">
        <v>183800.829914657</v>
      </c>
      <c r="H51" s="4">
        <v>5593.271709464723</v>
      </c>
      <c r="I51" s="9" t="s">
        <v>143</v>
      </c>
      <c r="J51" s="9" t="s">
        <v>143</v>
      </c>
      <c r="K51" s="9" t="s">
        <v>143</v>
      </c>
    </row>
    <row r="52" spans="1:11">
      <c r="A52" t="s">
        <v>83</v>
      </c>
      <c r="B52" t="s">
        <v>192</v>
      </c>
      <c r="C52" t="s">
        <v>191</v>
      </c>
      <c r="D52" s="4">
        <v>345370.9751682692</v>
      </c>
      <c r="E52" s="7">
        <v>1.0364645716979</v>
      </c>
      <c r="F52" s="8">
        <v>0.9648183134343269</v>
      </c>
      <c r="G52" s="4">
        <v>357964.7798546663</v>
      </c>
      <c r="H52" s="4">
        <v>12593.80468639708</v>
      </c>
      <c r="I52" s="9" t="s">
        <v>143</v>
      </c>
      <c r="J52" s="9" t="s">
        <v>143</v>
      </c>
      <c r="K52" s="9" t="s">
        <v>143</v>
      </c>
    </row>
    <row r="53" spans="1:11">
      <c r="A53" t="s">
        <v>84</v>
      </c>
      <c r="B53" t="s">
        <v>193</v>
      </c>
      <c r="C53" t="s">
        <v>192</v>
      </c>
      <c r="D53" s="4">
        <v>485763.635317445</v>
      </c>
      <c r="E53" s="7">
        <v>1.042373273046819</v>
      </c>
      <c r="F53" s="8">
        <v>0.9593492330027195</v>
      </c>
      <c r="G53" s="4">
        <v>506347.0304729664</v>
      </c>
      <c r="H53" s="4">
        <v>20583.39515552146</v>
      </c>
      <c r="I53" s="9" t="s">
        <v>143</v>
      </c>
      <c r="J53" s="9" t="s">
        <v>143</v>
      </c>
      <c r="K53" s="9" t="s">
        <v>143</v>
      </c>
    </row>
    <row r="54" spans="1:11">
      <c r="A54" t="s">
        <v>85</v>
      </c>
      <c r="B54" t="s">
        <v>194</v>
      </c>
      <c r="C54" t="s">
        <v>193</v>
      </c>
      <c r="D54" s="4">
        <v>505956.7677384809</v>
      </c>
      <c r="E54" s="7">
        <v>1.049217756975285</v>
      </c>
      <c r="F54" s="8">
        <v>0.9530909988435846</v>
      </c>
      <c r="G54" s="4">
        <v>530858.8249730342</v>
      </c>
      <c r="H54" s="4">
        <v>24902.05723455333</v>
      </c>
      <c r="I54" s="9" t="s">
        <v>143</v>
      </c>
      <c r="J54" s="9" t="s">
        <v>143</v>
      </c>
      <c r="K54" s="9" t="s">
        <v>143</v>
      </c>
    </row>
    <row r="55" spans="1:11">
      <c r="A55" t="s">
        <v>86</v>
      </c>
      <c r="B55" t="s">
        <v>195</v>
      </c>
      <c r="C55" t="s">
        <v>194</v>
      </c>
      <c r="D55" s="4">
        <v>185977.0675577887</v>
      </c>
      <c r="E55" s="7">
        <v>1.057183347404324</v>
      </c>
      <c r="F55" s="8">
        <v>0.9459097160916077</v>
      </c>
      <c r="G55" s="4">
        <v>196611.8588211833</v>
      </c>
      <c r="H55" s="4">
        <v>10634.79126339455</v>
      </c>
      <c r="I55" s="9" t="s">
        <v>143</v>
      </c>
      <c r="J55" s="9" t="s">
        <v>143</v>
      </c>
      <c r="K55" s="9" t="s">
        <v>143</v>
      </c>
    </row>
    <row r="56" spans="1:11">
      <c r="A56" t="s">
        <v>87</v>
      </c>
      <c r="B56" t="s">
        <v>196</v>
      </c>
      <c r="C56" t="s">
        <v>195</v>
      </c>
      <c r="D56" s="4">
        <v>306592.4999730309</v>
      </c>
      <c r="E56" s="7">
        <v>1.066423673824691</v>
      </c>
      <c r="F56" s="8">
        <v>0.9377136165906133</v>
      </c>
      <c r="G56" s="4">
        <v>326957.5001883362</v>
      </c>
      <c r="H56" s="4">
        <v>20365.00021530536</v>
      </c>
      <c r="I56" s="9" t="s">
        <v>143</v>
      </c>
      <c r="J56" s="9" t="s">
        <v>143</v>
      </c>
      <c r="K56" s="9" t="s">
        <v>143</v>
      </c>
    </row>
    <row r="57" spans="1:11">
      <c r="A57" t="s">
        <v>88</v>
      </c>
      <c r="B57" t="s">
        <v>197</v>
      </c>
      <c r="C57" t="s">
        <v>196</v>
      </c>
      <c r="D57" s="4">
        <v>484999.7293019843</v>
      </c>
      <c r="E57" s="7">
        <v>1.07715440020064</v>
      </c>
      <c r="F57" s="8">
        <v>0.9283720140898385</v>
      </c>
      <c r="G57" s="4">
        <v>522419.5925137516</v>
      </c>
      <c r="H57" s="4">
        <v>37419.86321176734</v>
      </c>
      <c r="I57" s="9" t="s">
        <v>143</v>
      </c>
      <c r="J57" s="9" t="s">
        <v>143</v>
      </c>
      <c r="K57" s="9" t="s">
        <v>143</v>
      </c>
    </row>
    <row r="58" spans="1:11">
      <c r="A58" t="s">
        <v>89</v>
      </c>
      <c r="B58" t="s">
        <v>198</v>
      </c>
      <c r="C58" t="s">
        <v>197</v>
      </c>
      <c r="D58" s="4">
        <v>186119.1398003811</v>
      </c>
      <c r="E58" s="7">
        <v>1.089626493425352</v>
      </c>
      <c r="F58" s="8">
        <v>0.9177456734338368</v>
      </c>
      <c r="G58" s="4">
        <v>202800.3456600322</v>
      </c>
      <c r="H58" s="4">
        <v>16681.20585965106</v>
      </c>
      <c r="I58" s="9" t="s">
        <v>143</v>
      </c>
      <c r="J58" s="9" t="s">
        <v>143</v>
      </c>
      <c r="K58" s="9" t="s">
        <v>143</v>
      </c>
    </row>
    <row r="59" spans="1:11">
      <c r="A59" t="s">
        <v>90</v>
      </c>
      <c r="B59" t="s">
        <v>199</v>
      </c>
      <c r="C59" t="s">
        <v>198</v>
      </c>
      <c r="D59" s="4">
        <v>560589.952063728</v>
      </c>
      <c r="E59" s="7">
        <v>1.104164008131469</v>
      </c>
      <c r="F59" s="8">
        <v>0.9056625579493929</v>
      </c>
      <c r="G59" s="4">
        <v>618983.2483889137</v>
      </c>
      <c r="H59" s="4">
        <v>58393.29632518569</v>
      </c>
      <c r="I59" s="9" t="s">
        <v>143</v>
      </c>
      <c r="J59" s="9" t="s">
        <v>143</v>
      </c>
      <c r="K59" s="9" t="s">
        <v>143</v>
      </c>
    </row>
    <row r="60" spans="1:11">
      <c r="A60" t="s">
        <v>91</v>
      </c>
      <c r="B60" t="s">
        <v>200</v>
      </c>
      <c r="C60" t="s">
        <v>199</v>
      </c>
      <c r="D60" s="4">
        <v>289928.5938126415</v>
      </c>
      <c r="E60" s="7">
        <v>1.120976434851189</v>
      </c>
      <c r="F60" s="8">
        <v>0.892079413009919</v>
      </c>
      <c r="G60" s="4">
        <v>325003.1214535132</v>
      </c>
      <c r="H60" s="4">
        <v>35074.52764087176</v>
      </c>
      <c r="I60" s="9" t="s">
        <v>143</v>
      </c>
      <c r="J60" s="9" t="s">
        <v>143</v>
      </c>
      <c r="K60" s="9" t="s">
        <v>143</v>
      </c>
    </row>
    <row r="61" spans="1:11">
      <c r="A61" t="s">
        <v>92</v>
      </c>
      <c r="B61" t="s">
        <v>201</v>
      </c>
      <c r="C61" t="s">
        <v>200</v>
      </c>
      <c r="D61" s="4">
        <v>264483.308630699</v>
      </c>
      <c r="E61" s="7">
        <v>1.140561777978281</v>
      </c>
      <c r="F61" s="8">
        <v>0.876760925456019</v>
      </c>
      <c r="G61" s="4">
        <v>301659.5527374084</v>
      </c>
      <c r="H61" s="4">
        <v>37176.24410670943</v>
      </c>
      <c r="I61" s="9" t="s">
        <v>143</v>
      </c>
      <c r="J61" s="9" t="s">
        <v>143</v>
      </c>
      <c r="K61" s="9" t="s">
        <v>143</v>
      </c>
    </row>
    <row r="62" spans="1:11">
      <c r="A62" t="s">
        <v>93</v>
      </c>
      <c r="B62" t="s">
        <v>202</v>
      </c>
      <c r="C62" t="s">
        <v>201</v>
      </c>
      <c r="D62" s="4">
        <v>393804.0020569529</v>
      </c>
      <c r="E62" s="7">
        <v>1.163314716317307</v>
      </c>
      <c r="F62" s="8">
        <v>0.8596126103911838</v>
      </c>
      <c r="G62" s="4">
        <v>458117.9909375045</v>
      </c>
      <c r="H62" s="4">
        <v>64313.98888055159</v>
      </c>
      <c r="I62" s="9" t="s">
        <v>143</v>
      </c>
      <c r="J62" s="9" t="s">
        <v>143</v>
      </c>
      <c r="K62" s="9" t="s">
        <v>143</v>
      </c>
    </row>
    <row r="63" spans="1:11">
      <c r="A63" t="s">
        <v>94</v>
      </c>
      <c r="B63" t="s">
        <v>203</v>
      </c>
      <c r="C63" t="s">
        <v>202</v>
      </c>
      <c r="D63" s="4">
        <v>369313.1796811317</v>
      </c>
      <c r="E63" s="7">
        <v>1.189768098971616</v>
      </c>
      <c r="F63" s="8">
        <v>0.8404999267204731</v>
      </c>
      <c r="G63" s="4">
        <v>439397.039714383</v>
      </c>
      <c r="H63" s="4">
        <v>70083.86003325129</v>
      </c>
      <c r="I63" s="9" t="s">
        <v>143</v>
      </c>
      <c r="J63" s="9" t="s">
        <v>143</v>
      </c>
      <c r="K63" s="9" t="s">
        <v>143</v>
      </c>
    </row>
    <row r="64" spans="1:11">
      <c r="A64" t="s">
        <v>95</v>
      </c>
      <c r="B64" t="s">
        <v>204</v>
      </c>
      <c r="C64" t="s">
        <v>203</v>
      </c>
      <c r="D64" s="4">
        <v>388740.0179195596</v>
      </c>
      <c r="E64" s="7">
        <v>1.22049919972597</v>
      </c>
      <c r="F64" s="8">
        <v>0.8193368748005104</v>
      </c>
      <c r="G64" s="4">
        <v>474456.8807722817</v>
      </c>
      <c r="H64" s="4">
        <v>85716.86285272206</v>
      </c>
      <c r="I64" s="9" t="s">
        <v>143</v>
      </c>
      <c r="J64" s="9" t="s">
        <v>143</v>
      </c>
      <c r="K64" s="9" t="s">
        <v>143</v>
      </c>
    </row>
    <row r="65" spans="1:11">
      <c r="A65" t="s">
        <v>96</v>
      </c>
      <c r="B65" t="s">
        <v>205</v>
      </c>
      <c r="C65" t="s">
        <v>204</v>
      </c>
      <c r="D65" s="4">
        <v>370708.0639590757</v>
      </c>
      <c r="E65" s="7">
        <v>1.256226217552602</v>
      </c>
      <c r="F65" s="8">
        <v>0.7960349704754728</v>
      </c>
      <c r="G65" s="4">
        <v>465693.1890035575</v>
      </c>
      <c r="H65" s="4">
        <v>94985.12504448183</v>
      </c>
      <c r="I65" s="9" t="s">
        <v>143</v>
      </c>
      <c r="J65" s="9" t="s">
        <v>143</v>
      </c>
      <c r="K65" s="9" t="s">
        <v>143</v>
      </c>
    </row>
    <row r="66" spans="1:11">
      <c r="A66" t="s">
        <v>97</v>
      </c>
      <c r="B66" t="s">
        <v>206</v>
      </c>
      <c r="C66" t="s">
        <v>205</v>
      </c>
      <c r="D66" s="4">
        <v>592411.9148310286</v>
      </c>
      <c r="E66" s="7">
        <v>1.297703302485277</v>
      </c>
      <c r="F66" s="8">
        <v>0.7705921670114156</v>
      </c>
      <c r="G66" s="4">
        <v>768774.8983078522</v>
      </c>
      <c r="H66" s="4">
        <v>176362.9834768237</v>
      </c>
      <c r="I66" s="9" t="s">
        <v>143</v>
      </c>
      <c r="J66" s="9" t="s">
        <v>143</v>
      </c>
      <c r="K66" s="9" t="s">
        <v>143</v>
      </c>
    </row>
    <row r="67" spans="1:11">
      <c r="A67" t="s">
        <v>98</v>
      </c>
      <c r="B67" t="s">
        <v>207</v>
      </c>
      <c r="C67" t="s">
        <v>206</v>
      </c>
      <c r="D67" s="4">
        <v>352883.4979479097</v>
      </c>
      <c r="E67" s="7">
        <v>1.346117380473841</v>
      </c>
      <c r="F67" s="8">
        <v>0.7428772665040507</v>
      </c>
      <c r="G67" s="4">
        <v>475022.6098700861</v>
      </c>
      <c r="H67" s="4">
        <v>122139.1119221764</v>
      </c>
      <c r="I67" s="9" t="s">
        <v>143</v>
      </c>
      <c r="J67" s="9" t="s">
        <v>143</v>
      </c>
      <c r="K67" s="9" t="s">
        <v>143</v>
      </c>
    </row>
    <row r="68" spans="1:11">
      <c r="A68" t="s">
        <v>99</v>
      </c>
      <c r="B68" t="s">
        <v>208</v>
      </c>
      <c r="C68" t="s">
        <v>207</v>
      </c>
      <c r="D68" s="4">
        <v>167853.3275022669</v>
      </c>
      <c r="E68" s="7">
        <v>1.402283570729216</v>
      </c>
      <c r="F68" s="8">
        <v>0.7131225244833895</v>
      </c>
      <c r="G68" s="4">
        <v>235377.9634486593</v>
      </c>
      <c r="H68" s="4">
        <v>67524.63594639237</v>
      </c>
      <c r="I68" s="9" t="s">
        <v>143</v>
      </c>
      <c r="J68" s="9" t="s">
        <v>143</v>
      </c>
      <c r="K68" s="9" t="s">
        <v>143</v>
      </c>
    </row>
    <row r="69" spans="1:11">
      <c r="A69" t="s">
        <v>100</v>
      </c>
      <c r="B69" t="s">
        <v>209</v>
      </c>
      <c r="C69" t="s">
        <v>208</v>
      </c>
      <c r="D69" s="4">
        <v>222794.949516535</v>
      </c>
      <c r="E69" s="7">
        <v>1.467565281283095</v>
      </c>
      <c r="F69" s="8">
        <v>0.6814006932118879</v>
      </c>
      <c r="G69" s="4">
        <v>326966.1327556866</v>
      </c>
      <c r="H69" s="4">
        <v>104171.1832391516</v>
      </c>
      <c r="I69" s="9" t="s">
        <v>143</v>
      </c>
      <c r="J69" s="9" t="s">
        <v>143</v>
      </c>
      <c r="K69" s="9" t="s">
        <v>143</v>
      </c>
    </row>
    <row r="70" spans="1:11">
      <c r="A70" t="s">
        <v>101</v>
      </c>
      <c r="B70" t="s">
        <v>210</v>
      </c>
      <c r="C70" t="s">
        <v>209</v>
      </c>
      <c r="D70" s="4">
        <v>353594.8535739568</v>
      </c>
      <c r="E70" s="7">
        <v>1.543304866307997</v>
      </c>
      <c r="F70" s="8">
        <v>0.6479601158728093</v>
      </c>
      <c r="G70" s="4">
        <v>545704.6582221511</v>
      </c>
      <c r="H70" s="4">
        <v>192109.8046481943</v>
      </c>
      <c r="I70" s="9" t="s">
        <v>143</v>
      </c>
      <c r="J70" s="9" t="s">
        <v>143</v>
      </c>
      <c r="K70" s="9" t="s">
        <v>143</v>
      </c>
    </row>
    <row r="71" spans="1:11">
      <c r="A71" t="s">
        <v>102</v>
      </c>
      <c r="B71" t="s">
        <v>211</v>
      </c>
      <c r="C71" t="s">
        <v>210</v>
      </c>
      <c r="D71" s="4">
        <v>337226.6686156298</v>
      </c>
      <c r="E71" s="7">
        <v>1.631239674631314</v>
      </c>
      <c r="F71" s="8">
        <v>0.6130307002409171</v>
      </c>
      <c r="G71" s="4">
        <v>550097.5211895618</v>
      </c>
      <c r="H71" s="4">
        <v>212870.852573932</v>
      </c>
      <c r="I71" s="9" t="s">
        <v>143</v>
      </c>
      <c r="J71" s="9" t="s">
        <v>143</v>
      </c>
      <c r="K71" s="9" t="s">
        <v>143</v>
      </c>
    </row>
    <row r="72" spans="1:11">
      <c r="A72" t="s">
        <v>103</v>
      </c>
      <c r="B72" t="s">
        <v>212</v>
      </c>
      <c r="C72" t="s">
        <v>211</v>
      </c>
      <c r="D72" s="4">
        <v>179517.6462262944</v>
      </c>
      <c r="E72" s="7">
        <v>1.733161338045879</v>
      </c>
      <c r="F72" s="8">
        <v>0.5769803295563294</v>
      </c>
      <c r="G72" s="4">
        <v>311133.0439364112</v>
      </c>
      <c r="H72" s="4">
        <v>131615.3977101168</v>
      </c>
      <c r="I72" s="9" t="s">
        <v>143</v>
      </c>
      <c r="J72" s="9" t="s">
        <v>143</v>
      </c>
      <c r="K72" s="9" t="s">
        <v>143</v>
      </c>
    </row>
    <row r="73" spans="1:11">
      <c r="A73" t="s">
        <v>104</v>
      </c>
      <c r="B73" t="s">
        <v>213</v>
      </c>
      <c r="C73" t="s">
        <v>212</v>
      </c>
      <c r="D73" s="4">
        <v>218621.3830071804</v>
      </c>
      <c r="E73" s="7">
        <v>1.851557244812788</v>
      </c>
      <c r="F73" s="8">
        <v>0.540085921081587</v>
      </c>
      <c r="G73" s="4">
        <v>404790.0055779362</v>
      </c>
      <c r="H73" s="4">
        <v>186168.6225707558</v>
      </c>
      <c r="I73" s="9" t="s">
        <v>143</v>
      </c>
      <c r="J73" s="9" t="s">
        <v>143</v>
      </c>
      <c r="K73" s="9" t="s">
        <v>143</v>
      </c>
    </row>
    <row r="74" spans="1:11">
      <c r="A74" t="s">
        <v>105</v>
      </c>
      <c r="B74" t="s">
        <v>214</v>
      </c>
      <c r="C74" t="s">
        <v>213</v>
      </c>
      <c r="D74" s="4">
        <v>89291.57266541065</v>
      </c>
      <c r="E74" s="7">
        <v>1.989257081224593</v>
      </c>
      <c r="F74" s="8">
        <v>0.5027002338905321</v>
      </c>
      <c r="G74" s="4">
        <v>177623.8932183484</v>
      </c>
      <c r="H74" s="4">
        <v>88332.32055293776</v>
      </c>
      <c r="I74" s="9" t="s">
        <v>143</v>
      </c>
      <c r="J74" s="9" t="s">
        <v>143</v>
      </c>
      <c r="K74" s="9" t="s">
        <v>143</v>
      </c>
    </row>
    <row r="75" spans="1:11">
      <c r="A75" t="s">
        <v>106</v>
      </c>
      <c r="B75" t="s">
        <v>215</v>
      </c>
      <c r="C75" t="s">
        <v>214</v>
      </c>
      <c r="D75" s="4">
        <v>319400.2021497795</v>
      </c>
      <c r="E75" s="7">
        <v>2.14914320075226</v>
      </c>
      <c r="F75" s="8">
        <v>0.4653017070477073</v>
      </c>
      <c r="G75" s="4">
        <v>686436.7727690958</v>
      </c>
      <c r="H75" s="4">
        <v>367036.5706193164</v>
      </c>
      <c r="I75" s="9" t="s">
        <v>143</v>
      </c>
      <c r="J75" s="9" t="s">
        <v>143</v>
      </c>
      <c r="K75" s="9" t="s">
        <v>143</v>
      </c>
    </row>
    <row r="76" spans="1:11">
      <c r="A76" t="s">
        <v>107</v>
      </c>
      <c r="B76" t="s">
        <v>216</v>
      </c>
      <c r="C76" t="s">
        <v>215</v>
      </c>
      <c r="D76" s="4">
        <v>330117.0766223583</v>
      </c>
      <c r="E76" s="7">
        <v>2.334770068852627</v>
      </c>
      <c r="F76" s="8">
        <v>0.4283077007627689</v>
      </c>
      <c r="G76" s="4">
        <v>770747.4697150114</v>
      </c>
      <c r="H76" s="4">
        <v>440630.3930926531</v>
      </c>
      <c r="I76" s="9" t="s">
        <v>143</v>
      </c>
      <c r="J76" s="9" t="s">
        <v>143</v>
      </c>
      <c r="K76" s="9" t="s">
        <v>143</v>
      </c>
    </row>
    <row r="77" spans="1:11">
      <c r="A77" t="s">
        <v>108</v>
      </c>
      <c r="B77" t="s">
        <v>217</v>
      </c>
      <c r="C77" t="s">
        <v>216</v>
      </c>
      <c r="D77" s="4">
        <v>173024.0688865591</v>
      </c>
      <c r="E77" s="7">
        <v>2.5499839222925</v>
      </c>
      <c r="F77" s="8">
        <v>0.3921593353031712</v>
      </c>
      <c r="G77" s="4">
        <v>441208.5938303556</v>
      </c>
      <c r="H77" s="4">
        <v>268184.5249437966</v>
      </c>
      <c r="I77" s="9" t="s">
        <v>143</v>
      </c>
      <c r="J77" s="9" t="s">
        <v>143</v>
      </c>
      <c r="K77" s="9" t="s">
        <v>143</v>
      </c>
    </row>
    <row r="78" spans="1:11">
      <c r="A78" t="s">
        <v>109</v>
      </c>
      <c r="B78" t="s">
        <v>218</v>
      </c>
      <c r="C78" t="s">
        <v>217</v>
      </c>
      <c r="D78" s="4">
        <v>165989.3794384586</v>
      </c>
      <c r="E78" s="7">
        <v>2.799894359650275</v>
      </c>
      <c r="F78" s="8">
        <v>0.3571563321856566</v>
      </c>
      <c r="G78" s="4">
        <v>464752.7272515897</v>
      </c>
      <c r="H78" s="4">
        <v>298763.3478131311</v>
      </c>
      <c r="I78" s="9" t="s">
        <v>143</v>
      </c>
      <c r="J78" s="9" t="s">
        <v>143</v>
      </c>
      <c r="K78" s="9" t="s">
        <v>143</v>
      </c>
    </row>
    <row r="79" spans="1:11">
      <c r="A79" t="s">
        <v>110</v>
      </c>
      <c r="B79" t="s">
        <v>219</v>
      </c>
      <c r="C79" t="s">
        <v>218</v>
      </c>
      <c r="D79" s="4">
        <v>139171.3642668969</v>
      </c>
      <c r="E79" s="7">
        <v>3.08980044436772</v>
      </c>
      <c r="F79" s="8">
        <v>0.3236454968549383</v>
      </c>
      <c r="G79" s="4">
        <v>430011.7431551199</v>
      </c>
      <c r="H79" s="4">
        <v>290840.378888223</v>
      </c>
      <c r="I79" s="9" t="s">
        <v>143</v>
      </c>
      <c r="J79" s="9" t="s">
        <v>143</v>
      </c>
      <c r="K79" s="9" t="s">
        <v>143</v>
      </c>
    </row>
    <row r="80" spans="1:11">
      <c r="A80" t="s">
        <v>111</v>
      </c>
      <c r="B80" t="s">
        <v>220</v>
      </c>
      <c r="C80" t="s">
        <v>219</v>
      </c>
      <c r="D80" s="4">
        <v>148129.6965839367</v>
      </c>
      <c r="E80" s="7">
        <v>3.426342555346713</v>
      </c>
      <c r="F80" s="8">
        <v>0.2918563990163586</v>
      </c>
      <c r="G80" s="4">
        <v>507543.0831161389</v>
      </c>
      <c r="H80" s="4">
        <v>359413.3865322022</v>
      </c>
      <c r="I80" s="9" t="s">
        <v>143</v>
      </c>
      <c r="J80" s="9" t="s">
        <v>143</v>
      </c>
      <c r="K80" s="9" t="s">
        <v>143</v>
      </c>
    </row>
    <row r="81" spans="1:11">
      <c r="A81" t="s">
        <v>112</v>
      </c>
      <c r="B81" t="s">
        <v>221</v>
      </c>
      <c r="C81" t="s">
        <v>220</v>
      </c>
      <c r="D81" s="4">
        <v>62624.5776059166</v>
      </c>
      <c r="E81" s="7">
        <v>3.817339194807055</v>
      </c>
      <c r="F81" s="8">
        <v>0.2619625736587299</v>
      </c>
      <c r="G81" s="4">
        <v>239059.2546533016</v>
      </c>
      <c r="H81" s="4">
        <v>176434.677047385</v>
      </c>
      <c r="I81" s="9" t="s">
        <v>143</v>
      </c>
      <c r="J81" s="9" t="s">
        <v>143</v>
      </c>
      <c r="K81" s="9" t="s">
        <v>143</v>
      </c>
    </row>
    <row r="82" spans="1:11">
      <c r="A82" t="s">
        <v>113</v>
      </c>
      <c r="B82" t="s">
        <v>222</v>
      </c>
      <c r="C82" t="s">
        <v>221</v>
      </c>
      <c r="D82" s="4">
        <v>120307.0707153526</v>
      </c>
      <c r="E82" s="7">
        <v>4.27167993562146</v>
      </c>
      <c r="F82" s="8">
        <v>0.2340999361073423</v>
      </c>
      <c r="G82" s="4">
        <v>513913.300088164</v>
      </c>
      <c r="H82" s="4">
        <v>393606.2293728114</v>
      </c>
      <c r="I82" s="9" t="s">
        <v>143</v>
      </c>
      <c r="J82" s="9" t="s">
        <v>143</v>
      </c>
      <c r="K82" s="9" t="s">
        <v>143</v>
      </c>
    </row>
    <row r="83" spans="1:11">
      <c r="A83" t="s">
        <v>114</v>
      </c>
      <c r="B83" t="s">
        <v>223</v>
      </c>
      <c r="C83" t="s">
        <v>222</v>
      </c>
      <c r="D83" s="4">
        <v>237776.1260597469</v>
      </c>
      <c r="E83" s="7">
        <v>4.800170716248485</v>
      </c>
      <c r="F83" s="8">
        <v>0.2083259240374555</v>
      </c>
      <c r="G83" s="4">
        <v>1141365.997335005</v>
      </c>
      <c r="H83" s="4">
        <v>903589.8712752585</v>
      </c>
      <c r="I83" s="9" t="s">
        <v>143</v>
      </c>
      <c r="J83" s="9" t="s">
        <v>143</v>
      </c>
      <c r="K83" s="9" t="s">
        <v>143</v>
      </c>
    </row>
    <row r="84" spans="1:11">
      <c r="A84" t="s">
        <v>115</v>
      </c>
      <c r="B84" t="s">
        <v>224</v>
      </c>
      <c r="C84" t="s">
        <v>223</v>
      </c>
      <c r="D84" s="4">
        <v>92580.04276929615</v>
      </c>
      <c r="E84" s="7">
        <v>5.41379730767123</v>
      </c>
      <c r="F84" s="8">
        <v>0.1847132323522756</v>
      </c>
      <c r="G84" s="4">
        <v>501209.5862885029</v>
      </c>
      <c r="H84" s="4">
        <v>408629.5435192068</v>
      </c>
      <c r="I84" s="9" t="s">
        <v>143</v>
      </c>
      <c r="J84" s="9" t="s">
        <v>143</v>
      </c>
      <c r="K84" s="9" t="s">
        <v>143</v>
      </c>
    </row>
    <row r="85" spans="1:11">
      <c r="A85" t="s">
        <v>116</v>
      </c>
      <c r="B85" t="s">
        <v>225</v>
      </c>
      <c r="C85" t="s">
        <v>224</v>
      </c>
      <c r="D85" s="4">
        <v>50420.96036117522</v>
      </c>
      <c r="E85" s="7">
        <v>6.127032696707109</v>
      </c>
      <c r="F85" s="8">
        <v>0.163211141428613</v>
      </c>
      <c r="G85" s="4">
        <v>308930.8727322937</v>
      </c>
      <c r="H85" s="4">
        <v>258509.9123711184</v>
      </c>
      <c r="I85" s="9" t="s">
        <v>143</v>
      </c>
      <c r="J85" s="9" t="s">
        <v>143</v>
      </c>
      <c r="K85" s="9" t="s">
        <v>143</v>
      </c>
    </row>
    <row r="86" spans="1:11">
      <c r="A86" t="s">
        <v>7</v>
      </c>
      <c r="B86" t="s">
        <v>226</v>
      </c>
      <c r="C86" t="s">
        <v>225</v>
      </c>
      <c r="D86" s="4">
        <v>97464.5294240348</v>
      </c>
      <c r="E86" s="7">
        <v>6.955658564288101</v>
      </c>
      <c r="F86" s="8">
        <v>0.1437678389123673</v>
      </c>
      <c r="G86" s="4">
        <v>677929.9888025973</v>
      </c>
      <c r="H86" s="4">
        <v>580465.4593785625</v>
      </c>
      <c r="I86" s="9" t="s">
        <v>143</v>
      </c>
      <c r="J86" s="9" t="s">
        <v>143</v>
      </c>
      <c r="K86" s="9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cols>
    <col min="1" max="1" width="14.7109375" customWidth="1"/>
    <col min="2" max="7" width="22.7109375" customWidth="1"/>
    <col min="8" max="8" width="65.7109375" customWidth="1"/>
  </cols>
  <sheetData>
    <row r="1" spans="1:8">
      <c r="A1" s="10" t="s">
        <v>227</v>
      </c>
      <c r="B1" s="10"/>
      <c r="C1" s="10"/>
      <c r="D1" s="10"/>
      <c r="E1" s="10"/>
      <c r="F1" s="10"/>
      <c r="G1" s="10"/>
      <c r="H1" s="10"/>
    </row>
    <row r="2" spans="1:8">
      <c r="A2" s="11" t="s">
        <v>33</v>
      </c>
      <c r="B2" s="11" t="s">
        <v>228</v>
      </c>
      <c r="C2" s="11" t="s">
        <v>129</v>
      </c>
      <c r="D2" s="11" t="s">
        <v>229</v>
      </c>
      <c r="E2" s="11" t="s">
        <v>230</v>
      </c>
      <c r="F2" s="11" t="s">
        <v>231</v>
      </c>
      <c r="G2" s="11" t="s">
        <v>232</v>
      </c>
      <c r="H2" s="11" t="s">
        <v>233</v>
      </c>
    </row>
    <row r="3" spans="1:8">
      <c r="A3" t="s">
        <v>34</v>
      </c>
      <c r="B3" s="4">
        <f>'Python Reference'!D3</f>
        <v>268376.2534695262</v>
      </c>
      <c r="C3" s="7">
        <f>'Python Reference'!E3</f>
        <v>1.0</v>
      </c>
      <c r="D3" s="8">
        <f>'Python Reference'!F3</f>
        <v>1.0</v>
      </c>
      <c r="E3" s="4">
        <f>B3*C3</f>
        <v>268376.2534695262</v>
      </c>
      <c r="F3" s="4">
        <f>B3/D3</f>
        <v>268376.2534695262</v>
      </c>
      <c r="G3" s="4">
        <f>E3-B3</f>
        <v>0.0</v>
      </c>
      <c r="H3" s="12" t="s">
        <v>234</v>
      </c>
    </row>
    <row r="4" spans="1:8">
      <c r="A4" t="s">
        <v>35</v>
      </c>
      <c r="B4" s="4">
        <f>'Python Reference'!D4</f>
        <v>696764.1109134787</v>
      </c>
      <c r="C4" s="7">
        <f>'Python Reference'!E4</f>
        <v>1.0000039114899215</v>
      </c>
      <c r="D4" s="8">
        <f>'Python Reference'!F4</f>
        <v>0.9999960885253781</v>
      </c>
      <c r="E4" s="4">
        <f>B4*C4</f>
        <v>696766.8362992762</v>
      </c>
      <c r="F4" s="4">
        <f>B4/D4</f>
        <v>696766.8362992762</v>
      </c>
      <c r="G4" s="4">
        <f>E4-B4</f>
        <v>2.7253857975592837</v>
      </c>
      <c r="H4" s="12" t="s">
        <v>235</v>
      </c>
    </row>
    <row r="5" spans="1:8">
      <c r="A5" t="s">
        <v>36</v>
      </c>
      <c r="B5" s="4">
        <f>'Python Reference'!D5</f>
        <v>1080824.544707305</v>
      </c>
      <c r="C5" s="7">
        <f>'Python Reference'!E5</f>
        <v>1.0000088153727102</v>
      </c>
      <c r="D5" s="8">
        <f>'Python Reference'!F5</f>
        <v>0.9999911847049998</v>
      </c>
      <c r="E5" s="4">
        <f>B5*C5</f>
        <v>1080834.072578501</v>
      </c>
      <c r="F5" s="4">
        <f>B5/D5</f>
        <v>1080834.072578501</v>
      </c>
      <c r="G5" s="4">
        <f>E5-B5</f>
        <v>9.5278711959254</v>
      </c>
      <c r="H5" s="12" t="s">
        <v>236</v>
      </c>
    </row>
    <row r="6" spans="1:8">
      <c r="A6" t="s">
        <v>37</v>
      </c>
      <c r="B6" s="4">
        <f>'Python Reference'!D6</f>
        <v>665486.701010737</v>
      </c>
      <c r="C6" s="7">
        <f>'Python Reference'!E6</f>
        <v>1.0000142139092314</v>
      </c>
      <c r="D6" s="8">
        <f>'Python Reference'!F6</f>
        <v>0.999985786292801</v>
      </c>
      <c r="E6" s="4">
        <f>B6*C6</f>
        <v>665496.1601782999</v>
      </c>
      <c r="F6" s="4">
        <f>B6/D6</f>
        <v>665496.1601782999</v>
      </c>
      <c r="G6" s="4">
        <f>E6-B6</f>
        <v>9.459167562890798</v>
      </c>
    </row>
    <row r="7" spans="1:8">
      <c r="A7" t="s">
        <v>38</v>
      </c>
      <c r="B7" s="4">
        <f>'Python Reference'!D7</f>
        <v>305209.99057625234</v>
      </c>
      <c r="C7" s="7">
        <f>'Python Reference'!E7</f>
        <v>1.00002027007778</v>
      </c>
      <c r="D7" s="8">
        <f>'Python Reference'!F7</f>
        <v>0.9999797303330876</v>
      </c>
      <c r="E7" s="4">
        <f>B7*C7</f>
        <v>305216.17720650055</v>
      </c>
      <c r="F7" s="4">
        <f>B7/D7</f>
        <v>305216.17720650055</v>
      </c>
      <c r="G7" s="4">
        <f>E7-B7</f>
        <v>6.18663024820853</v>
      </c>
    </row>
    <row r="8" spans="1:8">
      <c r="A8" t="s">
        <v>39</v>
      </c>
      <c r="B8" s="4">
        <f>'Python Reference'!D8</f>
        <v>398074.7080228073</v>
      </c>
      <c r="C8" s="7">
        <f>'Python Reference'!E8</f>
        <v>1.0000272589158226</v>
      </c>
      <c r="D8" s="8">
        <f>'Python Reference'!F8</f>
        <v>0.9999727418272056</v>
      </c>
      <c r="E8" s="4">
        <f>B8*C8</f>
        <v>398085.5591077644</v>
      </c>
      <c r="F8" s="4">
        <f>B8/D8</f>
        <v>398085.5591077644</v>
      </c>
      <c r="G8" s="4">
        <f>E8-B8</f>
        <v>10.851084957073908</v>
      </c>
    </row>
    <row r="9" spans="1:8">
      <c r="A9" t="s">
        <v>40</v>
      </c>
      <c r="B9" s="4">
        <f>'Python Reference'!D9</f>
        <v>375857.39129463845</v>
      </c>
      <c r="C9" s="7">
        <f>'Python Reference'!E9</f>
        <v>1.0000354731979701</v>
      </c>
      <c r="D9" s="8">
        <f>'Python Reference'!F9</f>
        <v>0.999964528060333</v>
      </c>
      <c r="E9" s="4">
        <f>B9*C9</f>
        <v>375870.7241582884</v>
      </c>
      <c r="F9" s="4">
        <f>B9/D9</f>
        <v>375870.7241582884</v>
      </c>
      <c r="G9" s="4">
        <f>E9-B9</f>
        <v>13.332863649935462</v>
      </c>
    </row>
    <row r="10" spans="1:8">
      <c r="A10" t="s">
        <v>41</v>
      </c>
      <c r="B10" s="4">
        <f>'Python Reference'!D10</f>
        <v>196441.8214491536</v>
      </c>
      <c r="C10" s="7">
        <f>'Python Reference'!E10</f>
        <v>1.000045006366088</v>
      </c>
      <c r="D10" s="8">
        <f>'Python Reference'!F10</f>
        <v>0.9999549956593938</v>
      </c>
      <c r="E10" s="4">
        <f>B10*C10</f>
        <v>196450.6625816847</v>
      </c>
      <c r="F10" s="4">
        <f>B10/D10</f>
        <v>196450.6625816847</v>
      </c>
      <c r="G10" s="4">
        <f>E10-B10</f>
        <v>8.841132531117182</v>
      </c>
    </row>
    <row r="11" spans="1:8">
      <c r="A11" t="s">
        <v>42</v>
      </c>
      <c r="B11" s="4">
        <f>'Python Reference'!D11</f>
        <v>189417.2562290788</v>
      </c>
      <c r="C11" s="7">
        <f>'Python Reference'!E11</f>
        <v>1.0000561049134866</v>
      </c>
      <c r="D11" s="8">
        <f>'Python Reference'!F11</f>
        <v>0.9999438982340981</v>
      </c>
      <c r="E11" s="4">
        <f>B11*C11</f>
        <v>189427.8834678524</v>
      </c>
      <c r="F11" s="4">
        <f>B11/D11</f>
        <v>189427.8834678524</v>
      </c>
      <c r="G11" s="4">
        <f>E11-B11</f>
        <v>10.627238773595309</v>
      </c>
    </row>
    <row r="12" spans="1:8">
      <c r="A12" t="s">
        <v>43</v>
      </c>
      <c r="B12" s="4">
        <f>'Python Reference'!D12</f>
        <v>387383.8401871618</v>
      </c>
      <c r="C12" s="7">
        <f>'Python Reference'!E12</f>
        <v>1.0000690533792567</v>
      </c>
      <c r="D12" s="8">
        <f>'Python Reference'!F12</f>
        <v>0.9999309513887833</v>
      </c>
      <c r="E12" s="4">
        <f>B12*C12</f>
        <v>387410.5903503962</v>
      </c>
      <c r="F12" s="4">
        <f>B12/D12</f>
        <v>387410.5903503962</v>
      </c>
      <c r="G12" s="4">
        <f>E12-B12</f>
        <v>26.750163234362844</v>
      </c>
    </row>
    <row r="13" spans="1:8">
      <c r="A13" t="s">
        <v>44</v>
      </c>
      <c r="B13" s="4">
        <f>'Python Reference'!D13</f>
        <v>317992.1817103905</v>
      </c>
      <c r="C13" s="7">
        <f>'Python Reference'!E13</f>
        <v>1.0000840075743127</v>
      </c>
      <c r="D13" s="8">
        <f>'Python Reference'!F13</f>
        <v>0.999915999482367</v>
      </c>
      <c r="E13" s="4">
        <f>B13*C13</f>
        <v>318018.8954622264</v>
      </c>
      <c r="F13" s="4">
        <f>B13/D13</f>
        <v>318018.8954622264</v>
      </c>
      <c r="G13" s="4">
        <f>E13-B13</f>
        <v>26.713751835923176</v>
      </c>
    </row>
    <row r="14" spans="1:8">
      <c r="A14" t="s">
        <v>45</v>
      </c>
      <c r="B14" s="4">
        <f>'Python Reference'!D14</f>
        <v>320341.7780403297</v>
      </c>
      <c r="C14" s="7">
        <f>'Python Reference'!E14</f>
        <v>1.0001015043282329</v>
      </c>
      <c r="D14" s="8">
        <f>'Python Reference'!F14</f>
        <v>0.9998985059738501</v>
      </c>
      <c r="E14" s="4">
        <f>B14*C14</f>
        <v>320374.2941173146</v>
      </c>
      <c r="F14" s="4">
        <f>B14/D14</f>
        <v>320374.2941173146</v>
      </c>
      <c r="G14" s="4">
        <f>E14-B14</f>
        <v>32.516076984931715</v>
      </c>
    </row>
    <row r="15" spans="1:8">
      <c r="A15" t="s">
        <v>46</v>
      </c>
      <c r="B15" s="4">
        <f>'Python Reference'!D15</f>
        <v>610795.8848163723</v>
      </c>
      <c r="C15" s="7">
        <f>'Python Reference'!E15</f>
        <v>1.000121882582242</v>
      </c>
      <c r="D15" s="8">
        <f>'Python Reference'!F15</f>
        <v>0.9998781322713115</v>
      </c>
      <c r="E15" s="4">
        <f>B15*C15</f>
        <v>610870.3301960365</v>
      </c>
      <c r="F15" s="4">
        <f>B15/D15</f>
        <v>610870.3301960365</v>
      </c>
      <c r="G15" s="4">
        <f>E15-B15</f>
        <v>74.44537966419011</v>
      </c>
    </row>
    <row r="16" spans="1:8">
      <c r="A16" t="s">
        <v>47</v>
      </c>
      <c r="B16" s="4">
        <f>'Python Reference'!D16</f>
        <v>484312.2913047043</v>
      </c>
      <c r="C16" s="7">
        <f>'Python Reference'!E16</f>
        <v>1.0001450968476018</v>
      </c>
      <c r="D16" s="8">
        <f>'Python Reference'!F16</f>
        <v>0.9998549242024392</v>
      </c>
      <c r="E16" s="4">
        <f>B16*C16</f>
        <v>484382.56349142746</v>
      </c>
      <c r="F16" s="4">
        <f>B16/D16</f>
        <v>484382.56349142746</v>
      </c>
      <c r="G16" s="4">
        <f>E16-B16</f>
        <v>70.27218672313029</v>
      </c>
    </row>
    <row r="17" spans="1:7">
      <c r="A17" t="s">
        <v>48</v>
      </c>
      <c r="B17" s="4">
        <f>'Python Reference'!D17</f>
        <v>691311.2071397695</v>
      </c>
      <c r="C17" s="7">
        <f>'Python Reference'!E17</f>
        <v>1.0001725677301159</v>
      </c>
      <c r="D17" s="8">
        <f>'Python Reference'!F17</f>
        <v>0.9998274620443675</v>
      </c>
      <c r="E17" s="4">
        <f>B17*C17</f>
        <v>691430.5051455892</v>
      </c>
      <c r="F17" s="4">
        <f>B17/D17</f>
        <v>691430.5051455892</v>
      </c>
      <c r="G17" s="4">
        <f>E17-B17</f>
        <v>119.29800581978634</v>
      </c>
    </row>
    <row r="18" spans="1:7">
      <c r="A18" t="s">
        <v>49</v>
      </c>
      <c r="B18" s="4">
        <f>'Python Reference'!D18</f>
        <v>424553.1113525354</v>
      </c>
      <c r="C18" s="7">
        <f>'Python Reference'!E18</f>
        <v>1.000204201272329</v>
      </c>
      <c r="D18" s="8">
        <f>'Python Reference'!F18</f>
        <v>0.9997958404173176</v>
      </c>
      <c r="E18" s="4">
        <f>B18*C18</f>
        <v>424639.8056380447</v>
      </c>
      <c r="F18" s="4">
        <f>B18/D18</f>
        <v>424639.8056380447</v>
      </c>
      <c r="G18" s="4">
        <f>E18-B18</f>
        <v>86.69428550935118</v>
      </c>
    </row>
    <row r="19" spans="1:7">
      <c r="A19" t="s">
        <v>50</v>
      </c>
      <c r="B19" s="4">
        <f>'Python Reference'!D19</f>
        <v>463722.0168203284</v>
      </c>
      <c r="C19" s="7">
        <f>'Python Reference'!E19</f>
        <v>1.000240475250929</v>
      </c>
      <c r="D19" s="8">
        <f>'Python Reference'!F19</f>
        <v>0.9997595825635143</v>
      </c>
      <c r="E19" s="4">
        <f>B19*C19</f>
        <v>463833.53048868466</v>
      </c>
      <c r="F19" s="4">
        <f>B19/D19</f>
        <v>463833.53048868466</v>
      </c>
      <c r="G19" s="4">
        <f>E19-B19</f>
        <v>111.51366835623048</v>
      </c>
    </row>
    <row r="20" spans="1:7">
      <c r="A20" t="s">
        <v>51</v>
      </c>
      <c r="B20" s="4">
        <f>'Python Reference'!D20</f>
        <v>708039.1266162744</v>
      </c>
      <c r="C20" s="7">
        <f>'Python Reference'!E20</f>
        <v>1.0002822664144257</v>
      </c>
      <c r="D20" s="8">
        <f>'Python Reference'!F20</f>
        <v>0.9997178132374199</v>
      </c>
      <c r="E20" s="4">
        <f>B20*C20</f>
        <v>708238.9822818175</v>
      </c>
      <c r="F20" s="4">
        <f>B20/D20</f>
        <v>708238.9822818175</v>
      </c>
      <c r="G20" s="4">
        <f>E20-B20</f>
        <v>199.85566554311663</v>
      </c>
    </row>
    <row r="21" spans="1:7">
      <c r="A21" t="s">
        <v>52</v>
      </c>
      <c r="B21" s="4">
        <f>'Python Reference'!D21</f>
        <v>321158.55592401105</v>
      </c>
      <c r="C21" s="7">
        <f>'Python Reference'!E21</f>
        <v>1.0003302923108992</v>
      </c>
      <c r="D21" s="8">
        <f>'Python Reference'!F21</f>
        <v>0.9996698167460908</v>
      </c>
      <c r="E21" s="4">
        <f>B21*C21</f>
        <v>321264.63212561223</v>
      </c>
      <c r="F21" s="4">
        <f>B21/D21</f>
        <v>321264.63212561223</v>
      </c>
      <c r="G21" s="4">
        <f>E21-B21</f>
        <v>106.07620160118677</v>
      </c>
    </row>
    <row r="22" spans="1:7">
      <c r="A22" t="s">
        <v>53</v>
      </c>
      <c r="B22" s="4">
        <f>'Python Reference'!D22</f>
        <v>351177.00620422105</v>
      </c>
      <c r="C22" s="7">
        <f>'Python Reference'!E22</f>
        <v>1.000386152455447</v>
      </c>
      <c r="D22" s="8">
        <f>'Python Reference'!F22</f>
        <v>0.9996139966007135</v>
      </c>
      <c r="E22" s="4">
        <f>B22*C22</f>
        <v>351312.6140674633</v>
      </c>
      <c r="F22" s="4">
        <f>B22/D22</f>
        <v>351312.6140674633</v>
      </c>
      <c r="G22" s="4">
        <f>E22-B22</f>
        <v>135.6078632422723</v>
      </c>
    </row>
    <row r="23" spans="1:7">
      <c r="A23" t="s">
        <v>54</v>
      </c>
      <c r="B23" s="4">
        <f>'Python Reference'!D23</f>
        <v>394763.1445004353</v>
      </c>
      <c r="C23" s="7">
        <f>'Python Reference'!E23</f>
        <v>1.0004510047570367</v>
      </c>
      <c r="D23" s="8">
        <f>'Python Reference'!F23</f>
        <v>0.9995491985565588</v>
      </c>
      <c r="E23" s="4">
        <f>B23*C23</f>
        <v>394941.18455650774</v>
      </c>
      <c r="F23" s="4">
        <f>B23/D23</f>
        <v>394941.18455650774</v>
      </c>
      <c r="G23" s="4">
        <f>E23-B23</f>
        <v>178.04005607246654</v>
      </c>
    </row>
    <row r="24" spans="1:7">
      <c r="A24" t="s">
        <v>55</v>
      </c>
      <c r="B24" s="4">
        <f>'Python Reference'!D24</f>
        <v>330133.10539919685</v>
      </c>
      <c r="C24" s="7">
        <f>'Python Reference'!E24</f>
        <v>1.0005262661902787</v>
      </c>
      <c r="D24" s="8">
        <f>'Python Reference'!F24</f>
        <v>0.9994740106201483</v>
      </c>
      <c r="E24" s="4">
        <f>B24*C24</f>
        <v>330306.8432908602</v>
      </c>
      <c r="F24" s="4">
        <f>B24/D24</f>
        <v>330306.8432908602</v>
      </c>
      <c r="G24" s="4">
        <f>E24-B24</f>
        <v>173.73789166333154</v>
      </c>
    </row>
    <row r="25" spans="1:7">
      <c r="A25" t="s">
        <v>56</v>
      </c>
      <c r="B25" s="4">
        <f>'Python Reference'!D25</f>
        <v>188018.24492754028</v>
      </c>
      <c r="C25" s="7">
        <f>'Python Reference'!E25</f>
        <v>1.000614063901984</v>
      </c>
      <c r="D25" s="8">
        <f>'Python Reference'!F25</f>
        <v>0.9993863129410859</v>
      </c>
      <c r="E25" s="4">
        <f>B25*C25</f>
        <v>188133.70014466468</v>
      </c>
      <c r="F25" s="4">
        <f>B25/D25</f>
        <v>188133.70014466468</v>
      </c>
      <c r="G25" s="4">
        <f>E25-B25</f>
        <v>115.4552171243995</v>
      </c>
    </row>
    <row r="26" spans="1:7">
      <c r="A26" t="s">
        <v>57</v>
      </c>
      <c r="B26" s="4">
        <f>'Python Reference'!D26</f>
        <v>429341.642213236</v>
      </c>
      <c r="C26" s="7">
        <f>'Python Reference'!E26</f>
        <v>1.0007162072633506</v>
      </c>
      <c r="D26" s="8">
        <f>'Python Reference'!F26</f>
        <v>0.9992843053223758</v>
      </c>
      <c r="E26" s="4">
        <f>B26*C26</f>
        <v>429649.13981584803</v>
      </c>
      <c r="F26" s="4">
        <f>B26/D26</f>
        <v>429649.13981584803</v>
      </c>
      <c r="G26" s="4">
        <f>E26-B26</f>
        <v>307.497602612013</v>
      </c>
    </row>
    <row r="27" spans="1:7">
      <c r="A27" t="s">
        <v>58</v>
      </c>
      <c r="B27" s="4">
        <f>'Python Reference'!D27</f>
        <v>433894.6782140864</v>
      </c>
      <c r="C27" s="7">
        <f>'Python Reference'!E27</f>
        <v>1.0008352050857046</v>
      </c>
      <c r="D27" s="8">
        <f>'Python Reference'!F27</f>
        <v>0.9991654918997048</v>
      </c>
      <c r="E27" s="4">
        <f>B27*C27</f>
        <v>434257.06925599097</v>
      </c>
      <c r="F27" s="4">
        <f>B27/D27</f>
        <v>434257.06925599097</v>
      </c>
      <c r="G27" s="4">
        <f>E27-B27</f>
        <v>362.39104190457147</v>
      </c>
    </row>
    <row r="28" spans="1:7">
      <c r="A28" t="s">
        <v>59</v>
      </c>
      <c r="B28" s="4">
        <f>'Python Reference'!D28</f>
        <v>274337.0639128502</v>
      </c>
      <c r="C28" s="7">
        <f>'Python Reference'!E28</f>
        <v>1.000973893562248</v>
      </c>
      <c r="D28" s="8">
        <f>'Python Reference'!F28</f>
        <v>0.9990270539836137</v>
      </c>
      <c r="E28" s="4">
        <f>B28*C28</f>
        <v>274604.239013281</v>
      </c>
      <c r="F28" s="4">
        <f>B28/D28</f>
        <v>274604.239013281</v>
      </c>
      <c r="G28" s="4">
        <f>E28-B28</f>
        <v>267.175100430788</v>
      </c>
    </row>
    <row r="29" spans="1:7">
      <c r="A29" t="s">
        <v>60</v>
      </c>
      <c r="B29" s="4">
        <f>'Python Reference'!D29</f>
        <v>535860.2297060619</v>
      </c>
      <c r="C29" s="7">
        <f>'Python Reference'!E29</f>
        <v>1.0011354564481154</v>
      </c>
      <c r="D29" s="8">
        <f>'Python Reference'!F29</f>
        <v>0.9988658313509904</v>
      </c>
      <c r="E29" s="4">
        <f>B29*C29</f>
        <v>536468.6756591703</v>
      </c>
      <c r="F29" s="4">
        <f>B29/D29</f>
        <v>536468.6756591703</v>
      </c>
      <c r="G29" s="4">
        <f>E29-B29</f>
        <v>608.4459531083703</v>
      </c>
    </row>
    <row r="30" spans="1:7">
      <c r="A30" t="s">
        <v>61</v>
      </c>
      <c r="B30" s="4">
        <f>'Python Reference'!D30</f>
        <v>712291.0215150747</v>
      </c>
      <c r="C30" s="7">
        <f>'Python Reference'!E30</f>
        <v>1.0013209210803924</v>
      </c>
      <c r="D30" s="8">
        <f>'Python Reference'!F30</f>
        <v>0.9986808214503626</v>
      </c>
      <c r="E30" s="4">
        <f>B30*C30</f>
        <v>713231.9017407681</v>
      </c>
      <c r="F30" s="4">
        <f>B30/D30</f>
        <v>713231.9017407681</v>
      </c>
      <c r="G30" s="4">
        <f>E30-B30</f>
        <v>940.8802256934578</v>
      </c>
    </row>
    <row r="31" spans="1:7">
      <c r="A31" t="s">
        <v>62</v>
      </c>
      <c r="B31" s="4">
        <f>'Python Reference'!D31</f>
        <v>268665.2297384222</v>
      </c>
      <c r="C31" s="7">
        <f>'Python Reference'!E31</f>
        <v>1.0015359997942925</v>
      </c>
      <c r="D31" s="8">
        <f>'Python Reference'!F31</f>
        <v>0.9984663558827561</v>
      </c>
      <c r="E31" s="4">
        <f>B31*C31</f>
        <v>269077.899476034</v>
      </c>
      <c r="F31" s="4">
        <f>B31/D31</f>
        <v>269077.899476034</v>
      </c>
      <c r="G31" s="4">
        <f>E31-B31</f>
        <v>412.6697376117809</v>
      </c>
    </row>
    <row r="32" spans="1:7">
      <c r="A32" t="s">
        <v>63</v>
      </c>
      <c r="B32" s="4">
        <f>'Python Reference'!D32</f>
        <v>542922.3162266446</v>
      </c>
      <c r="C32" s="7">
        <f>'Python Reference'!E32</f>
        <v>1.0017845126334621</v>
      </c>
      <c r="D32" s="8">
        <f>'Python Reference'!F32</f>
        <v>0.9982186661792454</v>
      </c>
      <c r="E32" s="4">
        <f>B32*C32</f>
        <v>543891.1679589396</v>
      </c>
      <c r="F32" s="4">
        <f>B32/D32</f>
        <v>543891.1679589396</v>
      </c>
      <c r="G32" s="4">
        <f>E32-B32</f>
        <v>968.8517322950065</v>
      </c>
    </row>
    <row r="33" spans="1:7">
      <c r="A33" t="s">
        <v>64</v>
      </c>
      <c r="B33" s="4">
        <f>'Python Reference'!D33</f>
        <v>282248.21971636603</v>
      </c>
      <c r="C33" s="7">
        <f>'Python Reference'!E33</f>
        <v>1.0020736493527314</v>
      </c>
      <c r="D33" s="8">
        <f>'Python Reference'!F33</f>
        <v>0.9979306417706215</v>
      </c>
      <c r="E33" s="4">
        <f>B33*C33</f>
        <v>282833.50355449045</v>
      </c>
      <c r="F33" s="4">
        <f>B33/D33</f>
        <v>282833.50355449045</v>
      </c>
      <c r="G33" s="4">
        <f>E33-B33</f>
        <v>585.2838381244219</v>
      </c>
    </row>
    <row r="34" spans="1:7">
      <c r="A34" t="s">
        <v>65</v>
      </c>
      <c r="B34" s="4">
        <f>'Python Reference'!D34</f>
        <v>259994.994437558</v>
      </c>
      <c r="C34" s="7">
        <f>'Python Reference'!E34</f>
        <v>1.002409763302642</v>
      </c>
      <c r="D34" s="8">
        <f>'Python Reference'!F34</f>
        <v>0.9975960296967753</v>
      </c>
      <c r="E34" s="4">
        <f>B34*C34</f>
        <v>260621.52083402427</v>
      </c>
      <c r="F34" s="4">
        <f>B34/D34</f>
        <v>260621.52083402427</v>
      </c>
      <c r="G34" s="4">
        <f>E34-B34</f>
        <v>626.5263964662736</v>
      </c>
    </row>
    <row r="35" spans="1:7">
      <c r="A35" t="s">
        <v>66</v>
      </c>
      <c r="B35" s="4">
        <f>'Python Reference'!D35</f>
        <v>247920.6191170629</v>
      </c>
      <c r="C35" s="7">
        <f>'Python Reference'!E35</f>
        <v>1.0028017383510843</v>
      </c>
      <c r="D35" s="8">
        <f>'Python Reference'!F35</f>
        <v>0.9972060894552385</v>
      </c>
      <c r="E35" s="4">
        <f>B35*C35</f>
        <v>248615.22782366772</v>
      </c>
      <c r="F35" s="4">
        <f>B35/D35</f>
        <v>248615.22782366772</v>
      </c>
      <c r="G35" s="4">
        <f>E35-B35</f>
        <v>694.6087066048349</v>
      </c>
    </row>
    <row r="36" spans="1:7">
      <c r="A36" t="s">
        <v>67</v>
      </c>
      <c r="B36" s="4">
        <f>'Python Reference'!D36</f>
        <v>271927.1119367682</v>
      </c>
      <c r="C36" s="7">
        <f>'Python Reference'!E36</f>
        <v>1.0032589184379075</v>
      </c>
      <c r="D36" s="8">
        <f>'Python Reference'!F36</f>
        <v>0.9967516676124029</v>
      </c>
      <c r="E36" s="4">
        <f>B36*C36</f>
        <v>272813.3002156259</v>
      </c>
      <c r="F36" s="4">
        <f>B36/D36</f>
        <v>272813.3002156259</v>
      </c>
      <c r="G36" s="4">
        <f>E36-B36</f>
        <v>886.1882788576768</v>
      </c>
    </row>
    <row r="37" spans="1:7">
      <c r="A37" t="s">
        <v>68</v>
      </c>
      <c r="B37" s="4">
        <f>'Python Reference'!D37</f>
        <v>151978.2380753194</v>
      </c>
      <c r="C37" s="7">
        <f>'Python Reference'!E37</f>
        <v>1.0037905870304544</v>
      </c>
      <c r="D37" s="8">
        <f>'Python Reference'!F37</f>
        <v>0.9962237272600172</v>
      </c>
      <c r="E37" s="4">
        <f>B37*C37</f>
        <v>152554.324813479</v>
      </c>
      <c r="F37" s="4">
        <f>B37/D37</f>
        <v>152554.324813479</v>
      </c>
      <c r="G37" s="4">
        <f>E37-B37</f>
        <v>576.0867381596181</v>
      </c>
    </row>
    <row r="38" spans="1:7">
      <c r="A38" t="s">
        <v>69</v>
      </c>
      <c r="B38" s="4">
        <f>'Python Reference'!D38</f>
        <v>362520.81040475465</v>
      </c>
      <c r="C38" s="7">
        <f>'Python Reference'!E38</f>
        <v>1.004407931964536</v>
      </c>
      <c r="D38" s="8">
        <f>'Python Reference'!F38</f>
        <v>0.9956114126300113</v>
      </c>
      <c r="E38" s="4">
        <f>B38*C38</f>
        <v>364118.77747274726</v>
      </c>
      <c r="F38" s="4">
        <f>B38/D38</f>
        <v>364118.77747274726</v>
      </c>
      <c r="G38" s="4">
        <f>E38-B38</f>
        <v>1597.9670679926057</v>
      </c>
    </row>
    <row r="39" spans="1:7">
      <c r="A39" t="s">
        <v>70</v>
      </c>
      <c r="B39" s="4">
        <f>'Python Reference'!D39</f>
        <v>360564.7736760952</v>
      </c>
      <c r="C39" s="7">
        <f>'Python Reference'!E39</f>
        <v>1.0051268384333645</v>
      </c>
      <c r="D39" s="8">
        <f>'Python Reference'!F39</f>
        <v>0.994899311970064</v>
      </c>
      <c r="E39" s="4">
        <f>B39*C39</f>
        <v>362413.3310154952</v>
      </c>
      <c r="F39" s="4">
        <f>B39/D39</f>
        <v>362413.3310154952</v>
      </c>
      <c r="G39" s="4">
        <f>E39-B39</f>
        <v>1848.5573393999948</v>
      </c>
    </row>
    <row r="40" spans="1:7">
      <c r="A40" t="s">
        <v>71</v>
      </c>
      <c r="B40" s="4">
        <f>'Python Reference'!D40</f>
        <v>447200.60934843495</v>
      </c>
      <c r="C40" s="7">
        <f>'Python Reference'!E40</f>
        <v>1.0059608758969796</v>
      </c>
      <c r="D40" s="8">
        <f>'Python Reference'!F40</f>
        <v>0.994074445597435</v>
      </c>
      <c r="E40" s="4">
        <f>B40*C40</f>
        <v>449866.3166818146</v>
      </c>
      <c r="F40" s="4">
        <f>B40/D40</f>
        <v>449866.3166818146</v>
      </c>
      <c r="G40" s="4">
        <f>E40-B40</f>
        <v>2665.707333379658</v>
      </c>
    </row>
    <row r="41" spans="1:7">
      <c r="A41" t="s">
        <v>72</v>
      </c>
      <c r="B41" s="4">
        <f>'Python Reference'!D41</f>
        <v>707093.2913122353</v>
      </c>
      <c r="C41" s="7">
        <f>'Python Reference'!E41</f>
        <v>1.0069303584787428</v>
      </c>
      <c r="D41" s="8">
        <f>'Python Reference'!F41</f>
        <v>0.9931173408166846</v>
      </c>
      <c r="E41" s="4">
        <f>B41*C41</f>
        <v>711993.7012989431</v>
      </c>
      <c r="F41" s="4">
        <f>B41/D41</f>
        <v>711993.7012989431</v>
      </c>
      <c r="G41" s="4">
        <f>E41-B41</f>
        <v>4900.409986707848</v>
      </c>
    </row>
    <row r="42" spans="1:7">
      <c r="A42" t="s">
        <v>73</v>
      </c>
      <c r="B42" s="4">
        <f>'Python Reference'!D42</f>
        <v>560584.6117357074</v>
      </c>
      <c r="C42" s="7">
        <f>'Python Reference'!E42</f>
        <v>1.0080653885908035</v>
      </c>
      <c r="D42" s="8">
        <f>'Python Reference'!F42</f>
        <v>0.9919991414425225</v>
      </c>
      <c r="E42" s="4">
        <f>B42*C42</f>
        <v>565105.9444673805</v>
      </c>
      <c r="F42" s="4">
        <f>B42/D42</f>
        <v>565105.9444673805</v>
      </c>
      <c r="G42" s="4">
        <f>E42-B42</f>
        <v>4521.332731673145</v>
      </c>
    </row>
    <row r="43" spans="1:7">
      <c r="A43" t="s">
        <v>74</v>
      </c>
      <c r="B43" s="4">
        <f>'Python Reference'!D43</f>
        <v>392181.91915646725</v>
      </c>
      <c r="C43" s="7">
        <f>'Python Reference'!E43</f>
        <v>1.0093809712106099</v>
      </c>
      <c r="D43" s="8">
        <f>'Python Reference'!F43</f>
        <v>0.9907062135326776</v>
      </c>
      <c r="E43" s="4">
        <f>B43*C43</f>
        <v>395860.9664493958</v>
      </c>
      <c r="F43" s="4">
        <f>B43/D43</f>
        <v>395860.9664493958</v>
      </c>
      <c r="G43" s="4">
        <f>E43-B43</f>
        <v>3679.0472929285606</v>
      </c>
    </row>
    <row r="44" spans="1:7">
      <c r="A44" t="s">
        <v>75</v>
      </c>
      <c r="B44" s="4">
        <f>'Python Reference'!D44</f>
        <v>492501.6179409126</v>
      </c>
      <c r="C44" s="7">
        <f>'Python Reference'!E44</f>
        <v>1.0109142847924435</v>
      </c>
      <c r="D44" s="8">
        <f>'Python Reference'!F44</f>
        <v>0.9892035507296404</v>
      </c>
      <c r="E44" s="4">
        <f>B44*C44</f>
        <v>497876.9208598589</v>
      </c>
      <c r="F44" s="4">
        <f>B44/D44</f>
        <v>497876.9208598589</v>
      </c>
      <c r="G44" s="4">
        <f>E44-B44</f>
        <v>5375.302918946312</v>
      </c>
    </row>
    <row r="45" spans="1:7">
      <c r="A45" t="s">
        <v>76</v>
      </c>
      <c r="B45" s="4">
        <f>'Python Reference'!D45</f>
        <v>585859.7923381639</v>
      </c>
      <c r="C45" s="7">
        <f>'Python Reference'!E45</f>
        <v>1.0127013743426776</v>
      </c>
      <c r="D45" s="8">
        <f>'Python Reference'!F45</f>
        <v>0.9874579272187501</v>
      </c>
      <c r="E45" s="4">
        <f>B45*C45</f>
        <v>593301.0168729743</v>
      </c>
      <c r="F45" s="4">
        <f>B45/D45</f>
        <v>593301.0168729743</v>
      </c>
      <c r="G45" s="4">
        <f>E45-B45</f>
        <v>7441.224534810404</v>
      </c>
    </row>
    <row r="46" spans="1:7">
      <c r="A46" t="s">
        <v>77</v>
      </c>
      <c r="B46" s="4">
        <f>'Python Reference'!D46</f>
        <v>147022.2935583321</v>
      </c>
      <c r="C46" s="7">
        <f>'Python Reference'!E46</f>
        <v>1.0147691281922153</v>
      </c>
      <c r="D46" s="8">
        <f>'Python Reference'!F46</f>
        <v>0.9854458242945111</v>
      </c>
      <c r="E46" s="4">
        <f>B46*C46</f>
        <v>149193.68465900864</v>
      </c>
      <c r="F46" s="4">
        <f>B46/D46</f>
        <v>149193.68465900864</v>
      </c>
      <c r="G46" s="4">
        <f>E46-B46</f>
        <v>2171.3911006765265</v>
      </c>
    </row>
    <row r="47" spans="1:7">
      <c r="A47" t="s">
        <v>78</v>
      </c>
      <c r="B47" s="4">
        <f>'Python Reference'!D47</f>
        <v>470913.2775429101</v>
      </c>
      <c r="C47" s="7">
        <f>'Python Reference'!E47</f>
        <v>1.0171745516069697</v>
      </c>
      <c r="D47" s="8">
        <f>'Python Reference'!F47</f>
        <v>0.9831154332559375</v>
      </c>
      <c r="E47" s="4">
        <f>B47*C47</f>
        <v>479001.001930478</v>
      </c>
      <c r="F47" s="4">
        <f>B47/D47</f>
        <v>479001.001930478</v>
      </c>
      <c r="G47" s="4">
        <f>E47-B47</f>
        <v>8087.724387567956</v>
      </c>
    </row>
    <row r="48" spans="1:7">
      <c r="A48" t="s">
        <v>79</v>
      </c>
      <c r="B48" s="4">
        <f>'Python Reference'!D48</f>
        <v>417499.5915820809</v>
      </c>
      <c r="C48" s="7">
        <f>'Python Reference'!E48</f>
        <v>1.0199772956384978</v>
      </c>
      <c r="D48" s="8">
        <f>'Python Reference'!F48</f>
        <v>0.9804139800719857</v>
      </c>
      <c r="E48" s="4">
        <f>B48*C48</f>
        <v>425840.1043520682</v>
      </c>
      <c r="F48" s="4">
        <f>B48/D48</f>
        <v>425840.1043520682</v>
      </c>
      <c r="G48" s="4">
        <f>E48-B48</f>
        <v>8340.512769987341</v>
      </c>
    </row>
    <row r="49" spans="1:7">
      <c r="A49" t="s">
        <v>80</v>
      </c>
      <c r="B49" s="4">
        <f>'Python Reference'!D49</f>
        <v>353257.3524277939</v>
      </c>
      <c r="C49" s="7">
        <f>'Python Reference'!E49</f>
        <v>1.0232348344402196</v>
      </c>
      <c r="D49" s="8">
        <f>'Python Reference'!F49</f>
        <v>0.9772927644190977</v>
      </c>
      <c r="E49" s="4">
        <f>B49*C49</f>
        <v>361465.228526244</v>
      </c>
      <c r="F49" s="4">
        <f>B49/D49</f>
        <v>361465.228526244</v>
      </c>
      <c r="G49" s="4">
        <f>E49-B49</f>
        <v>8207.876098450099</v>
      </c>
    </row>
    <row r="50" spans="1:7">
      <c r="A50" t="s">
        <v>81</v>
      </c>
      <c r="B50" s="4">
        <f>'Python Reference'!D50</f>
        <v>582982.805848389</v>
      </c>
      <c r="C50" s="7">
        <f>'Python Reference'!E50</f>
        <v>1.0270122714810885</v>
      </c>
      <c r="D50" s="8">
        <f>'Python Reference'!F50</f>
        <v>0.9736981998840839</v>
      </c>
      <c r="E50" s="4">
        <f>B50*C50</f>
        <v>598730.4956687725</v>
      </c>
      <c r="F50" s="4">
        <f>B50/D50</f>
        <v>598730.4956687725</v>
      </c>
      <c r="G50" s="4">
        <f>E50-B50</f>
        <v>15747.689820383443</v>
      </c>
    </row>
    <row r="51" spans="1:7">
      <c r="A51" t="s">
        <v>82</v>
      </c>
      <c r="B51" s="4">
        <f>'Python Reference'!D51</f>
        <v>178207.55820519224</v>
      </c>
      <c r="C51" s="7">
        <f>'Python Reference'!E51</f>
        <v>1.0313862765743331</v>
      </c>
      <c r="D51" s="8">
        <f>'Python Reference'!F51</f>
        <v>0.9695688441011837</v>
      </c>
      <c r="E51" s="4">
        <f>B51*C51</f>
        <v>183800.82991465696</v>
      </c>
      <c r="F51" s="4">
        <f>B51/D51</f>
        <v>183800.82991465696</v>
      </c>
      <c r="G51" s="4">
        <f>E51-B51</f>
        <v>5593.271709464723</v>
      </c>
    </row>
    <row r="52" spans="1:7">
      <c r="A52" t="s">
        <v>83</v>
      </c>
      <c r="B52" s="4">
        <f>'Python Reference'!D52</f>
        <v>345370.97516826924</v>
      </c>
      <c r="C52" s="7">
        <f>'Python Reference'!E52</f>
        <v>1.0364645716979002</v>
      </c>
      <c r="D52" s="8">
        <f>'Python Reference'!F52</f>
        <v>0.9648183134343269</v>
      </c>
      <c r="E52" s="4">
        <f>B52*C52</f>
        <v>357964.7798546663</v>
      </c>
      <c r="F52" s="4">
        <f>B52/D52</f>
        <v>357964.7798546663</v>
      </c>
      <c r="G52" s="4">
        <f>E52-B52</f>
        <v>12593.804686397081</v>
      </c>
    </row>
    <row r="53" spans="1:7">
      <c r="A53" t="s">
        <v>84</v>
      </c>
      <c r="B53" s="4">
        <f>'Python Reference'!D53</f>
        <v>485763.635317445</v>
      </c>
      <c r="C53" s="7">
        <f>'Python Reference'!E53</f>
        <v>1.042373273046819</v>
      </c>
      <c r="D53" s="8">
        <f>'Python Reference'!F53</f>
        <v>0.9593492330027195</v>
      </c>
      <c r="E53" s="4">
        <f>B53*C53</f>
        <v>506347.03047296643</v>
      </c>
      <c r="F53" s="4">
        <f>B53/D53</f>
        <v>506347.03047296643</v>
      </c>
      <c r="G53" s="4">
        <f>E53-B53</f>
        <v>20583.39515552146</v>
      </c>
    </row>
    <row r="54" spans="1:7">
      <c r="A54" t="s">
        <v>85</v>
      </c>
      <c r="B54" s="4">
        <f>'Python Reference'!D54</f>
        <v>505956.7677384809</v>
      </c>
      <c r="C54" s="7">
        <f>'Python Reference'!E54</f>
        <v>1.0492177569752852</v>
      </c>
      <c r="D54" s="8">
        <f>'Python Reference'!F54</f>
        <v>0.9530909988435846</v>
      </c>
      <c r="E54" s="4">
        <f>B54*C54</f>
        <v>530858.8249730342</v>
      </c>
      <c r="F54" s="4">
        <f>B54/D54</f>
        <v>530858.8249730342</v>
      </c>
      <c r="G54" s="4">
        <f>E54-B54</f>
        <v>24902.05723455333</v>
      </c>
    </row>
    <row r="55" spans="1:7">
      <c r="A55" t="s">
        <v>86</v>
      </c>
      <c r="B55" s="4">
        <f>'Python Reference'!D55</f>
        <v>185977.06755778872</v>
      </c>
      <c r="C55" s="7">
        <f>'Python Reference'!E55</f>
        <v>1.0571833474043244</v>
      </c>
      <c r="D55" s="8">
        <f>'Python Reference'!F55</f>
        <v>0.9459097160916077</v>
      </c>
      <c r="E55" s="4">
        <f>B55*C55</f>
        <v>196611.85882118327</v>
      </c>
      <c r="F55" s="4">
        <f>B55/D55</f>
        <v>196611.85882118327</v>
      </c>
      <c r="G55" s="4">
        <f>E55-B55</f>
        <v>10634.791263394553</v>
      </c>
    </row>
    <row r="56" spans="1:7">
      <c r="A56" t="s">
        <v>87</v>
      </c>
      <c r="B56" s="4">
        <f>'Python Reference'!D56</f>
        <v>306592.4999730309</v>
      </c>
      <c r="C56" s="7">
        <f>'Python Reference'!E56</f>
        <v>1.0664236738246915</v>
      </c>
      <c r="D56" s="8">
        <f>'Python Reference'!F56</f>
        <v>0.9377136165906133</v>
      </c>
      <c r="E56" s="4">
        <f>B56*C56</f>
        <v>326957.50018833624</v>
      </c>
      <c r="F56" s="4">
        <f>B56/D56</f>
        <v>326957.50018833624</v>
      </c>
      <c r="G56" s="4">
        <f>E56-B56</f>
        <v>20365.000215305365</v>
      </c>
    </row>
    <row r="57" spans="1:7">
      <c r="A57" t="s">
        <v>88</v>
      </c>
      <c r="B57" s="4">
        <f>'Python Reference'!D57</f>
        <v>484999.7293019843</v>
      </c>
      <c r="C57" s="7">
        <f>'Python Reference'!E57</f>
        <v>1.07715440020064</v>
      </c>
      <c r="D57" s="8">
        <f>'Python Reference'!F57</f>
        <v>0.9283720140898385</v>
      </c>
      <c r="E57" s="4">
        <f>B57*C57</f>
        <v>522419.59251375165</v>
      </c>
      <c r="F57" s="4">
        <f>B57/D57</f>
        <v>522419.59251375165</v>
      </c>
      <c r="G57" s="4">
        <f>E57-B57</f>
        <v>37419.86321176734</v>
      </c>
    </row>
    <row r="58" spans="1:7">
      <c r="A58" t="s">
        <v>89</v>
      </c>
      <c r="B58" s="4">
        <f>'Python Reference'!D58</f>
        <v>186119.1398003811</v>
      </c>
      <c r="C58" s="7">
        <f>'Python Reference'!E58</f>
        <v>1.0896264934253521</v>
      </c>
      <c r="D58" s="8">
        <f>'Python Reference'!F58</f>
        <v>0.9177456734338368</v>
      </c>
      <c r="E58" s="4">
        <f>B58*C58</f>
        <v>202800.34566003215</v>
      </c>
      <c r="F58" s="4">
        <f>B58/D58</f>
        <v>202800.34566003215</v>
      </c>
      <c r="G58" s="4">
        <f>E58-B58</f>
        <v>16681.20585965106</v>
      </c>
    </row>
    <row r="59" spans="1:7">
      <c r="A59" t="s">
        <v>90</v>
      </c>
      <c r="B59" s="4">
        <f>'Python Reference'!D59</f>
        <v>560589.952063728</v>
      </c>
      <c r="C59" s="7">
        <f>'Python Reference'!E59</f>
        <v>1.1041640081314685</v>
      </c>
      <c r="D59" s="8">
        <f>'Python Reference'!F59</f>
        <v>0.9056625579493929</v>
      </c>
      <c r="E59" s="4">
        <f>B59*C59</f>
        <v>618983.2483889137</v>
      </c>
      <c r="F59" s="4">
        <f>B59/D59</f>
        <v>618983.2483889137</v>
      </c>
      <c r="G59" s="4">
        <f>E59-B59</f>
        <v>58393.296325185685</v>
      </c>
    </row>
    <row r="60" spans="1:7">
      <c r="A60" t="s">
        <v>91</v>
      </c>
      <c r="B60" s="4">
        <f>'Python Reference'!D60</f>
        <v>289928.59381264145</v>
      </c>
      <c r="C60" s="7">
        <f>'Python Reference'!E60</f>
        <v>1.1209764348511886</v>
      </c>
      <c r="D60" s="8">
        <f>'Python Reference'!F60</f>
        <v>0.892079413009919</v>
      </c>
      <c r="E60" s="4">
        <f>B60*C60</f>
        <v>325003.1214535132</v>
      </c>
      <c r="F60" s="4">
        <f>B60/D60</f>
        <v>325003.1214535132</v>
      </c>
      <c r="G60" s="4">
        <f>E60-B60</f>
        <v>35074.52764087176</v>
      </c>
    </row>
    <row r="61" spans="1:7">
      <c r="A61" t="s">
        <v>92</v>
      </c>
      <c r="B61" s="4">
        <f>'Python Reference'!D61</f>
        <v>264483.308630699</v>
      </c>
      <c r="C61" s="7">
        <f>'Python Reference'!E61</f>
        <v>1.1405617779782808</v>
      </c>
      <c r="D61" s="8">
        <f>'Python Reference'!F61</f>
        <v>0.876760925456019</v>
      </c>
      <c r="E61" s="4">
        <f>B61*C61</f>
        <v>301659.55273740843</v>
      </c>
      <c r="F61" s="4">
        <f>B61/D61</f>
        <v>301659.55273740843</v>
      </c>
      <c r="G61" s="4">
        <f>E61-B61</f>
        <v>37176.24410670943</v>
      </c>
    </row>
    <row r="62" spans="1:7">
      <c r="A62" t="s">
        <v>93</v>
      </c>
      <c r="B62" s="4">
        <f>'Python Reference'!D62</f>
        <v>393804.00205695286</v>
      </c>
      <c r="C62" s="7">
        <f>'Python Reference'!E62</f>
        <v>1.1633147163173074</v>
      </c>
      <c r="D62" s="8">
        <f>'Python Reference'!F62</f>
        <v>0.8596126103911838</v>
      </c>
      <c r="E62" s="4">
        <f>B62*C62</f>
        <v>458117.99093750445</v>
      </c>
      <c r="F62" s="4">
        <f>B62/D62</f>
        <v>458117.99093750445</v>
      </c>
      <c r="G62" s="4">
        <f>E62-B62</f>
        <v>64313.988880551595</v>
      </c>
    </row>
    <row r="63" spans="1:7">
      <c r="A63" t="s">
        <v>94</v>
      </c>
      <c r="B63" s="4">
        <f>'Python Reference'!D63</f>
        <v>369313.1796811317</v>
      </c>
      <c r="C63" s="7">
        <f>'Python Reference'!E63</f>
        <v>1.1897680989716162</v>
      </c>
      <c r="D63" s="8">
        <f>'Python Reference'!F63</f>
        <v>0.8404999267204731</v>
      </c>
      <c r="E63" s="4">
        <f>B63*C63</f>
        <v>439397.03971438296</v>
      </c>
      <c r="F63" s="4">
        <f>B63/D63</f>
        <v>439397.03971438296</v>
      </c>
      <c r="G63" s="4">
        <f>E63-B63</f>
        <v>70083.86003325129</v>
      </c>
    </row>
    <row r="64" spans="1:7">
      <c r="A64" t="s">
        <v>95</v>
      </c>
      <c r="B64" s="4">
        <f>'Python Reference'!D64</f>
        <v>388740.0179195596</v>
      </c>
      <c r="C64" s="7">
        <f>'Python Reference'!E64</f>
        <v>1.2204991997259698</v>
      </c>
      <c r="D64" s="8">
        <f>'Python Reference'!F64</f>
        <v>0.8193368748005104</v>
      </c>
      <c r="E64" s="4">
        <f>B64*C64</f>
        <v>474456.8807722817</v>
      </c>
      <c r="F64" s="4">
        <f>B64/D64</f>
        <v>474456.8807722817</v>
      </c>
      <c r="G64" s="4">
        <f>E64-B64</f>
        <v>85716.86285272206</v>
      </c>
    </row>
    <row r="65" spans="1:7">
      <c r="A65" t="s">
        <v>96</v>
      </c>
      <c r="B65" s="4">
        <f>'Python Reference'!D65</f>
        <v>370708.06395907566</v>
      </c>
      <c r="C65" s="7">
        <f>'Python Reference'!E65</f>
        <v>1.2562262175526016</v>
      </c>
      <c r="D65" s="8">
        <f>'Python Reference'!F65</f>
        <v>0.7960349704754728</v>
      </c>
      <c r="E65" s="4">
        <f>B65*C65</f>
        <v>465693.1890035575</v>
      </c>
      <c r="F65" s="4">
        <f>B65/D65</f>
        <v>465693.1890035575</v>
      </c>
      <c r="G65" s="4">
        <f>E65-B65</f>
        <v>94985.12504448183</v>
      </c>
    </row>
    <row r="66" spans="1:7">
      <c r="A66" t="s">
        <v>97</v>
      </c>
      <c r="B66" s="4">
        <f>'Python Reference'!D66</f>
        <v>592411.9148310286</v>
      </c>
      <c r="C66" s="7">
        <f>'Python Reference'!E66</f>
        <v>1.2977033024852767</v>
      </c>
      <c r="D66" s="8">
        <f>'Python Reference'!F66</f>
        <v>0.7705921670114156</v>
      </c>
      <c r="E66" s="4">
        <f>B66*C66</f>
        <v>768774.8983078522</v>
      </c>
      <c r="F66" s="4">
        <f>B66/D66</f>
        <v>768774.8983078522</v>
      </c>
      <c r="G66" s="4">
        <f>E66-B66</f>
        <v>176362.98347682366</v>
      </c>
    </row>
    <row r="67" spans="1:7">
      <c r="A67" t="s">
        <v>98</v>
      </c>
      <c r="B67" s="4">
        <f>'Python Reference'!D67</f>
        <v>352883.4979479097</v>
      </c>
      <c r="C67" s="7">
        <f>'Python Reference'!E67</f>
        <v>1.3461173804738407</v>
      </c>
      <c r="D67" s="8">
        <f>'Python Reference'!F67</f>
        <v>0.7428772665040507</v>
      </c>
      <c r="E67" s="4">
        <f>B67*C67</f>
        <v>475022.60987008613</v>
      </c>
      <c r="F67" s="4">
        <f>B67/D67</f>
        <v>475022.60987008613</v>
      </c>
      <c r="G67" s="4">
        <f>E67-B67</f>
        <v>122139.11192217644</v>
      </c>
    </row>
    <row r="68" spans="1:7">
      <c r="A68" t="s">
        <v>99</v>
      </c>
      <c r="B68" s="4">
        <f>'Python Reference'!D68</f>
        <v>167853.32750226688</v>
      </c>
      <c r="C68" s="7">
        <f>'Python Reference'!E68</f>
        <v>1.4022835707292156</v>
      </c>
      <c r="D68" s="8">
        <f>'Python Reference'!F68</f>
        <v>0.7131225244833895</v>
      </c>
      <c r="E68" s="4">
        <f>B68*C68</f>
        <v>235377.96344865925</v>
      </c>
      <c r="F68" s="4">
        <f>B68/D68</f>
        <v>235377.96344865925</v>
      </c>
      <c r="G68" s="4">
        <f>E68-B68</f>
        <v>67524.63594639237</v>
      </c>
    </row>
    <row r="69" spans="1:7">
      <c r="A69" t="s">
        <v>100</v>
      </c>
      <c r="B69" s="4">
        <f>'Python Reference'!D69</f>
        <v>222794.949516535</v>
      </c>
      <c r="C69" s="7">
        <f>'Python Reference'!E69</f>
        <v>1.4675652812830948</v>
      </c>
      <c r="D69" s="8">
        <f>'Python Reference'!F69</f>
        <v>0.6814006932118879</v>
      </c>
      <c r="E69" s="4">
        <f>B69*C69</f>
        <v>326966.1327556866</v>
      </c>
      <c r="F69" s="4">
        <f>B69/D69</f>
        <v>326966.1327556866</v>
      </c>
      <c r="G69" s="4">
        <f>E69-B69</f>
        <v>104171.18323915158</v>
      </c>
    </row>
    <row r="70" spans="1:7">
      <c r="A70" t="s">
        <v>101</v>
      </c>
      <c r="B70" s="4">
        <f>'Python Reference'!D70</f>
        <v>353594.8535739568</v>
      </c>
      <c r="C70" s="7">
        <f>'Python Reference'!E70</f>
        <v>1.5433048663079967</v>
      </c>
      <c r="D70" s="8">
        <f>'Python Reference'!F70</f>
        <v>0.6479601158728093</v>
      </c>
      <c r="E70" s="4">
        <f>B70*C70</f>
        <v>545704.6582221511</v>
      </c>
      <c r="F70" s="4">
        <f>B70/D70</f>
        <v>545704.6582221511</v>
      </c>
      <c r="G70" s="4">
        <f>E70-B70</f>
        <v>192109.8046481943</v>
      </c>
    </row>
    <row r="71" spans="1:7">
      <c r="A71" t="s">
        <v>102</v>
      </c>
      <c r="B71" s="4">
        <f>'Python Reference'!D71</f>
        <v>337226.6686156298</v>
      </c>
      <c r="C71" s="7">
        <f>'Python Reference'!E71</f>
        <v>1.6312396746313138</v>
      </c>
      <c r="D71" s="8">
        <f>'Python Reference'!F71</f>
        <v>0.6130307002409171</v>
      </c>
      <c r="E71" s="4">
        <f>B71*C71</f>
        <v>550097.5211895618</v>
      </c>
      <c r="F71" s="4">
        <f>B71/D71</f>
        <v>550097.5211895618</v>
      </c>
      <c r="G71" s="4">
        <f>E71-B71</f>
        <v>212870.85257393203</v>
      </c>
    </row>
    <row r="72" spans="1:7">
      <c r="A72" t="s">
        <v>103</v>
      </c>
      <c r="B72" s="4">
        <f>'Python Reference'!D72</f>
        <v>179517.6462262944</v>
      </c>
      <c r="C72" s="7">
        <f>'Python Reference'!E72</f>
        <v>1.733161338045879</v>
      </c>
      <c r="D72" s="8">
        <f>'Python Reference'!F72</f>
        <v>0.5769803295563294</v>
      </c>
      <c r="E72" s="4">
        <f>B72*C72</f>
        <v>311133.04393641115</v>
      </c>
      <c r="F72" s="4">
        <f>B72/D72</f>
        <v>311133.04393641115</v>
      </c>
      <c r="G72" s="4">
        <f>E72-B72</f>
        <v>131615.39771011675</v>
      </c>
    </row>
    <row r="73" spans="1:7">
      <c r="A73" t="s">
        <v>104</v>
      </c>
      <c r="B73" s="4">
        <f>'Python Reference'!D73</f>
        <v>218621.38300718044</v>
      </c>
      <c r="C73" s="7">
        <f>'Python Reference'!E73</f>
        <v>1.8515572448127877</v>
      </c>
      <c r="D73" s="8">
        <f>'Python Reference'!F73</f>
        <v>0.540085921081587</v>
      </c>
      <c r="E73" s="4">
        <f>B73*C73</f>
        <v>404790.00557793624</v>
      </c>
      <c r="F73" s="4">
        <f>B73/D73</f>
        <v>404790.00557793624</v>
      </c>
      <c r="G73" s="4">
        <f>E73-B73</f>
        <v>186168.6225707558</v>
      </c>
    </row>
    <row r="74" spans="1:7">
      <c r="A74" t="s">
        <v>105</v>
      </c>
      <c r="B74" s="4">
        <f>'Python Reference'!D74</f>
        <v>89291.57266541065</v>
      </c>
      <c r="C74" s="7">
        <f>'Python Reference'!E74</f>
        <v>1.9892570812245927</v>
      </c>
      <c r="D74" s="8">
        <f>'Python Reference'!F74</f>
        <v>0.5027002338905321</v>
      </c>
      <c r="E74" s="4">
        <f>B74*C74</f>
        <v>177623.8932183484</v>
      </c>
      <c r="F74" s="4">
        <f>B74/D74</f>
        <v>177623.8932183484</v>
      </c>
      <c r="G74" s="4">
        <f>E74-B74</f>
        <v>88332.32055293776</v>
      </c>
    </row>
    <row r="75" spans="1:7">
      <c r="A75" t="s">
        <v>106</v>
      </c>
      <c r="B75" s="4">
        <f>'Python Reference'!D75</f>
        <v>319400.2021497795</v>
      </c>
      <c r="C75" s="7">
        <f>'Python Reference'!E75</f>
        <v>2.1491432007522597</v>
      </c>
      <c r="D75" s="8">
        <f>'Python Reference'!F75</f>
        <v>0.46530170704770735</v>
      </c>
      <c r="E75" s="4">
        <f>B75*C75</f>
        <v>686436.7727690958</v>
      </c>
      <c r="F75" s="4">
        <f>B75/D75</f>
        <v>686436.7727690958</v>
      </c>
      <c r="G75" s="4">
        <f>E75-B75</f>
        <v>367036.57061931636</v>
      </c>
    </row>
    <row r="76" spans="1:7">
      <c r="A76" t="s">
        <v>107</v>
      </c>
      <c r="B76" s="4">
        <f>'Python Reference'!D76</f>
        <v>330117.07662235835</v>
      </c>
      <c r="C76" s="7">
        <f>'Python Reference'!E76</f>
        <v>2.3347700688526265</v>
      </c>
      <c r="D76" s="8">
        <f>'Python Reference'!F76</f>
        <v>0.42830770076276886</v>
      </c>
      <c r="E76" s="4">
        <f>B76*C76</f>
        <v>770747.4697150114</v>
      </c>
      <c r="F76" s="4">
        <f>B76/D76</f>
        <v>770747.4697150114</v>
      </c>
      <c r="G76" s="4">
        <f>E76-B76</f>
        <v>440630.3930926531</v>
      </c>
    </row>
    <row r="77" spans="1:7">
      <c r="A77" t="s">
        <v>108</v>
      </c>
      <c r="B77" s="4">
        <f>'Python Reference'!D77</f>
        <v>173024.06888655908</v>
      </c>
      <c r="C77" s="7">
        <f>'Python Reference'!E77</f>
        <v>2.5499839222925</v>
      </c>
      <c r="D77" s="8">
        <f>'Python Reference'!F77</f>
        <v>0.39215933530317115</v>
      </c>
      <c r="E77" s="4">
        <f>B77*C77</f>
        <v>441208.5938303556</v>
      </c>
      <c r="F77" s="4">
        <f>B77/D77</f>
        <v>441208.5938303556</v>
      </c>
      <c r="G77" s="4">
        <f>E77-B77</f>
        <v>268184.52494379657</v>
      </c>
    </row>
    <row r="78" spans="1:7">
      <c r="A78" t="s">
        <v>109</v>
      </c>
      <c r="B78" s="4">
        <f>'Python Reference'!D78</f>
        <v>165989.37943845862</v>
      </c>
      <c r="C78" s="7">
        <f>'Python Reference'!E78</f>
        <v>2.7998943596502754</v>
      </c>
      <c r="D78" s="8">
        <f>'Python Reference'!F78</f>
        <v>0.35715633218565657</v>
      </c>
      <c r="E78" s="4">
        <f>B78*C78</f>
        <v>464752.7272515897</v>
      </c>
      <c r="F78" s="4">
        <f>B78/D78</f>
        <v>464752.7272515897</v>
      </c>
      <c r="G78" s="4">
        <f>E78-B78</f>
        <v>298763.34781313105</v>
      </c>
    </row>
    <row r="79" spans="1:7">
      <c r="A79" t="s">
        <v>110</v>
      </c>
      <c r="B79" s="4">
        <f>'Python Reference'!D79</f>
        <v>139171.36426689688</v>
      </c>
      <c r="C79" s="7">
        <f>'Python Reference'!E79</f>
        <v>3.0898004443677203</v>
      </c>
      <c r="D79" s="8">
        <f>'Python Reference'!F79</f>
        <v>0.3236454968549383</v>
      </c>
      <c r="E79" s="4">
        <f>B79*C79</f>
        <v>430011.7431551199</v>
      </c>
      <c r="F79" s="4">
        <f>B79/D79</f>
        <v>430011.7431551199</v>
      </c>
      <c r="G79" s="4">
        <f>E79-B79</f>
        <v>290840.378888223</v>
      </c>
    </row>
    <row r="80" spans="1:7">
      <c r="A80" t="s">
        <v>111</v>
      </c>
      <c r="B80" s="4">
        <f>'Python Reference'!D80</f>
        <v>148129.6965839367</v>
      </c>
      <c r="C80" s="7">
        <f>'Python Reference'!E80</f>
        <v>3.426342555346713</v>
      </c>
      <c r="D80" s="8">
        <f>'Python Reference'!F80</f>
        <v>0.29185639901635857</v>
      </c>
      <c r="E80" s="4">
        <f>B80*C80</f>
        <v>507543.08311613894</v>
      </c>
      <c r="F80" s="4">
        <f>B80/D80</f>
        <v>507543.08311613894</v>
      </c>
      <c r="G80" s="4">
        <f>E80-B80</f>
        <v>359413.38653220225</v>
      </c>
    </row>
    <row r="81" spans="1:7">
      <c r="A81" t="s">
        <v>112</v>
      </c>
      <c r="B81" s="4">
        <f>'Python Reference'!D81</f>
        <v>62624.5776059166</v>
      </c>
      <c r="C81" s="7">
        <f>'Python Reference'!E81</f>
        <v>3.8173391948070554</v>
      </c>
      <c r="D81" s="8">
        <f>'Python Reference'!F81</f>
        <v>0.26196257365872994</v>
      </c>
      <c r="E81" s="4">
        <f>B81*C81</f>
        <v>239059.25465330164</v>
      </c>
      <c r="F81" s="4">
        <f>B81/D81</f>
        <v>239059.25465330164</v>
      </c>
      <c r="G81" s="4">
        <f>E81-B81</f>
        <v>176434.67704738505</v>
      </c>
    </row>
    <row r="82" spans="1:7">
      <c r="A82" t="s">
        <v>113</v>
      </c>
      <c r="B82" s="4">
        <f>'Python Reference'!D82</f>
        <v>120307.07071535265</v>
      </c>
      <c r="C82" s="7">
        <f>'Python Reference'!E82</f>
        <v>4.27167993562146</v>
      </c>
      <c r="D82" s="8">
        <f>'Python Reference'!F82</f>
        <v>0.23409993610734234</v>
      </c>
      <c r="E82" s="4">
        <f>B82*C82</f>
        <v>513913.30008816405</v>
      </c>
      <c r="F82" s="4">
        <f>B82/D82</f>
        <v>513913.30008816405</v>
      </c>
      <c r="G82" s="4">
        <f>E82-B82</f>
        <v>393606.2293728114</v>
      </c>
    </row>
    <row r="83" spans="1:7">
      <c r="A83" t="s">
        <v>114</v>
      </c>
      <c r="B83" s="4">
        <f>'Python Reference'!D83</f>
        <v>237776.1260597469</v>
      </c>
      <c r="C83" s="7">
        <f>'Python Reference'!E83</f>
        <v>4.800170716248485</v>
      </c>
      <c r="D83" s="8">
        <f>'Python Reference'!F83</f>
        <v>0.20832592403745545</v>
      </c>
      <c r="E83" s="4">
        <f>B83*C83</f>
        <v>1141365.9973350053</v>
      </c>
      <c r="F83" s="4">
        <f>B83/D83</f>
        <v>1141365.9973350053</v>
      </c>
      <c r="G83" s="4">
        <f>E83-B83</f>
        <v>903589.8712752585</v>
      </c>
    </row>
    <row r="84" spans="1:7">
      <c r="A84" t="s">
        <v>115</v>
      </c>
      <c r="B84" s="4">
        <f>'Python Reference'!D84</f>
        <v>92580.04276929615</v>
      </c>
      <c r="C84" s="7">
        <f>'Python Reference'!E84</f>
        <v>5.4137973076712305</v>
      </c>
      <c r="D84" s="8">
        <f>'Python Reference'!F84</f>
        <v>0.18471323235227557</v>
      </c>
      <c r="E84" s="4">
        <f>B84*C84</f>
        <v>501209.5862885029</v>
      </c>
      <c r="F84" s="4">
        <f>B84/D84</f>
        <v>501209.5862885029</v>
      </c>
      <c r="G84" s="4">
        <f>E84-B84</f>
        <v>408629.54351920675</v>
      </c>
    </row>
    <row r="85" spans="1:7">
      <c r="A85" t="s">
        <v>116</v>
      </c>
      <c r="B85" s="4">
        <f>'Python Reference'!D85</f>
        <v>50420.960361175225</v>
      </c>
      <c r="C85" s="7">
        <f>'Python Reference'!E85</f>
        <v>6.127032696707109</v>
      </c>
      <c r="D85" s="8">
        <f>'Python Reference'!F85</f>
        <v>0.163211141428613</v>
      </c>
      <c r="E85" s="4">
        <f>B85*C85</f>
        <v>308930.8727322937</v>
      </c>
      <c r="F85" s="4">
        <f>B85/D85</f>
        <v>308930.8727322937</v>
      </c>
      <c r="G85" s="4">
        <f>E85-B85</f>
        <v>258509.91237111844</v>
      </c>
    </row>
    <row r="86" spans="1:7">
      <c r="A86" t="s">
        <v>7</v>
      </c>
      <c r="B86" s="4">
        <f>'Python Reference'!D86</f>
        <v>97464.5294240348</v>
      </c>
      <c r="C86" s="7">
        <f>'Python Reference'!E86</f>
        <v>6.955658564288101</v>
      </c>
      <c r="D86" s="8">
        <f>'Python Reference'!F86</f>
        <v>0.14376783891236733</v>
      </c>
      <c r="E86" s="4">
        <f>B86*C86</f>
        <v>677929.9888025973</v>
      </c>
      <c r="F86" s="4">
        <f>B86/D86</f>
        <v>677929.9888025973</v>
      </c>
      <c r="G86" s="4">
        <f>E86-B86</f>
        <v>580465.4593785625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Cumulative</vt:lpstr>
      <vt:lpstr>Incremental</vt:lpstr>
      <vt:lpstr>Factors</vt:lpstr>
      <vt:lpstr>Python Reference</vt:lpstr>
      <vt:lpstr>Formula 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2026-10-14T19:10:55Z</dcterms:created>
  <dcterms:modified xsi:type="dcterms:W3CDTF">2026-10-14T19:10:55Z</dcterms:modified>
</cp:coreProperties>
</file>