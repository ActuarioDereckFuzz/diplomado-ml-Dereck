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tizador" sheetId="2" r:id="rId2"/>
    <sheet name="Factores" sheetId="3" r:id="rId3"/>
    <sheet name="Control" sheetId="4" r:id="rId4"/>
    <sheet name="Reprecio" sheetId="5" r:id="rId5"/>
  </sheets>
  <calcPr calcId="124519" fullCalcOnLoad="1"/>
</workbook>
</file>

<file path=xl/sharedStrings.xml><?xml version="1.0" encoding="utf-8"?>
<sst xmlns="http://schemas.openxmlformats.org/spreadsheetml/2006/main" count="1331" uniqueCount="58">
  <si>
    <t>Manual de tarifa — factores multiplicativos</t>
  </si>
  <si>
    <t>Prima base = $450.00  ·  prima = base × Π factores</t>
  </si>
  <si>
    <t>Cobertura</t>
  </si>
  <si>
    <t>Factor</t>
  </si>
  <si>
    <t>Amplia</t>
  </si>
  <si>
    <t>Limitada</t>
  </si>
  <si>
    <t>RC</t>
  </si>
  <si>
    <t>Sexo</t>
  </si>
  <si>
    <t>F</t>
  </si>
  <si>
    <t>M</t>
  </si>
  <si>
    <t>Combustible</t>
  </si>
  <si>
    <t>Diesel</t>
  </si>
  <si>
    <t>Gasolina</t>
  </si>
  <si>
    <t>Hibrido</t>
  </si>
  <si>
    <t>Edad (banda)</t>
  </si>
  <si>
    <t>(17, 30]</t>
  </si>
  <si>
    <t>(30, 35]</t>
  </si>
  <si>
    <t>(35, 45]</t>
  </si>
  <si>
    <t>(45, 50]</t>
  </si>
  <si>
    <t>(50, 55]</t>
  </si>
  <si>
    <t>(55, 60]</t>
  </si>
  <si>
    <t>(60, 95]</t>
  </si>
  <si>
    <t>Potencia (banda)</t>
  </si>
  <si>
    <t>(40, 50]</t>
  </si>
  <si>
    <t>(50, 60]</t>
  </si>
  <si>
    <t>(60, 70]</t>
  </si>
  <si>
    <t>(70, 250]</t>
  </si>
  <si>
    <t>(9, 40]</t>
  </si>
  <si>
    <t>Bonus (banda)</t>
  </si>
  <si>
    <t>(-1, 0]</t>
  </si>
  <si>
    <t>(0, 1]</t>
  </si>
  <si>
    <t>(1, 2]</t>
  </si>
  <si>
    <t>(10, 25]</t>
  </si>
  <si>
    <t>(2, 5]</t>
  </si>
  <si>
    <t>(5, 10]</t>
  </si>
  <si>
    <t>Cotizador de prima (Excel)</t>
  </si>
  <si>
    <t>Elige el perfil en los menús; la prima se calcula sola.</t>
  </si>
  <si>
    <t>Prima base</t>
  </si>
  <si>
    <t>Característica</t>
  </si>
  <si>
    <t>Selección</t>
  </si>
  <si>
    <t>PRIMA PURA ESTIMADA</t>
  </si>
  <si>
    <t>Prima Python</t>
  </si>
  <si>
    <t>Prima Excel</t>
  </si>
  <si>
    <t>Diferencia</t>
  </si>
  <si>
    <t>La columna Diferencia debe ser ~0: el Excel reproduce al modelo.</t>
  </si>
  <si>
    <t>cobertura</t>
  </si>
  <si>
    <t>sexo</t>
  </si>
  <si>
    <t>combustible</t>
  </si>
  <si>
    <t>edad_conductor_cat</t>
  </si>
  <si>
    <t>potencia_cat</t>
  </si>
  <si>
    <t>nivel_bonus_cat</t>
  </si>
  <si>
    <t>prima_glm</t>
  </si>
  <si>
    <t>impacto</t>
  </si>
  <si>
    <t>Tarifa de auto — entregable</t>
  </si>
  <si>
    <t>Generado desde Python (GLM Tweedie) · Diplomado ML Seguros</t>
  </si>
  <si>
    <t>Pólizas en cartera</t>
  </si>
  <si>
    <t>Hojas</t>
  </si>
  <si>
    <t>Factores · Cotizador · Control · Reprecio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</si>
</sst>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#,##0"/>
    <numFmt numFmtId="166" formatCode="0.000"/>
    <numFmt numFmtId="167" formatCode="+0.0%;-0.0%"/>
  </numFmts>
  <fonts count="6">
    <font>
      <sz val="11"/>
      <color theme="1"/>
      <name val="Calibri"/>
      <family val="2"/>
      <scheme val="minor"/>
    </font>
    <font>
      <b/>
      <sz val="16"/>
      <color rgb="FF0F2A43"/>
      <name val="Calibri"/>
      <family val="2"/>
      <scheme val="minor"/>
    </font>
    <font>
      <i/>
      <sz val="11"/>
      <color rgb="FF6B7C8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F2A4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5F8"/>
        <bgColor indexed="64"/>
      </patternFill>
    </fill>
    <fill>
      <patternFill patternType="solid">
        <fgColor rgb="FFE8F3F1"/>
        <bgColor indexed="64"/>
      </patternFill>
    </fill>
    <fill>
      <patternFill patternType="solid">
        <fgColor rgb="FF1C7293"/>
        <bgColor indexed="64"/>
      </patternFill>
    </fill>
    <fill>
      <patternFill patternType="solid">
        <fgColor rgb="FFFFF6E0"/>
        <bgColor indexed="64"/>
      </patternFill>
    </fill>
    <fill>
      <patternFill patternType="solid">
        <fgColor rgb="FFE9C46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3" fillId="3" borderId="1" xfId="0" applyNumberFormat="1" applyFont="1" applyFill="1" applyBorder="1"/>
    <xf numFmtId="165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Protection="1">
      <protection locked="0"/>
    </xf>
    <xf numFmtId="166" fontId="0" fillId="0" borderId="1" xfId="0" applyNumberFormat="1" applyBorder="1"/>
    <xf numFmtId="164" fontId="5" fillId="6" borderId="1" xfId="0" applyNumberFormat="1" applyFont="1" applyFill="1" applyBorder="1"/>
    <xf numFmtId="16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2">
    <dxf>
      <font>
        <color rgb="FFC44E52"/>
      </font>
    </dxf>
    <dxf>
      <font>
        <color rgb="FF2A9D8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Factores de Cobertura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Factor</c:v>
          </c:tx>
          <c:cat>
            <c:strRef>
              <c:f>Factores!$A$5:$A$7</c:f>
              <c:strCache>
                <c:ptCount val="3"/>
                <c:pt idx="0">
                  <c:v>Amplia</c:v>
                </c:pt>
                <c:pt idx="1">
                  <c:v>Limitada</c:v>
                </c:pt>
                <c:pt idx="2">
                  <c:v>RC</c:v>
                </c:pt>
              </c:strCache>
            </c:strRef>
          </c:cat>
          <c:val>
            <c:numRef>
              <c:f>Factores!$B$5:$B$7</c:f>
              <c:numCache>
                <c:formatCode>General</c:formatCode>
                <c:ptCount val="3"/>
                <c:pt idx="0">
                  <c:v>1</c:v>
                </c:pt>
                <c:pt idx="1">
                  <c:v>0.3990342210708229</c:v>
                </c:pt>
                <c:pt idx="2">
                  <c:v>0.226057541139863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438150</xdr:colOff>
      <xdr:row>22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GridLines="0" tabSelected="1" workbookViewId="0"/>
  </sheetViews>
  <sheetFormatPr defaultRowHeight="15"/>
  <cols>
    <col min="1" max="1" width="24.7109375" customWidth="1"/>
    <col min="2" max="2" width="16.7109375" customWidth="1"/>
  </cols>
  <sheetData>
    <row r="1" spans="1:2">
      <c r="A1" s="1" t="s">
        <v>53</v>
      </c>
    </row>
    <row r="2" spans="1:2">
      <c r="A2" s="2" t="s">
        <v>54</v>
      </c>
    </row>
    <row r="4" spans="1:2">
      <c r="A4" s="3" t="s">
        <v>37</v>
      </c>
      <c r="B4" s="4">
        <v>449.9982382283797</v>
      </c>
    </row>
    <row r="5" spans="1:2">
      <c r="A5" s="3" t="s">
        <v>55</v>
      </c>
      <c r="B5" s="5">
        <v>40000</v>
      </c>
    </row>
    <row r="6" spans="1:2">
      <c r="A6" s="3" t="s">
        <v>56</v>
      </c>
      <c r="B6" s="6" t="s">
        <v>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2" width="20.7109375" customWidth="1"/>
    <col min="3" max="3" width="12.7109375" customWidth="1"/>
  </cols>
  <sheetData>
    <row r="1" spans="1:3">
      <c r="A1" s="1" t="s">
        <v>35</v>
      </c>
    </row>
    <row r="2" spans="1:3">
      <c r="A2" s="2" t="s">
        <v>36</v>
      </c>
    </row>
    <row r="4" spans="1:3">
      <c r="A4" s="3" t="s">
        <v>37</v>
      </c>
      <c r="B4" s="7">
        <v>449.9982382283797</v>
      </c>
    </row>
    <row r="5" spans="1:3">
      <c r="A5" s="8" t="s">
        <v>38</v>
      </c>
      <c r="B5" s="8" t="s">
        <v>39</v>
      </c>
      <c r="C5" s="8" t="s">
        <v>3</v>
      </c>
    </row>
    <row r="6" spans="1:3">
      <c r="A6" s="3" t="s">
        <v>2</v>
      </c>
      <c r="B6" s="9" t="s">
        <v>4</v>
      </c>
      <c r="C6" s="10">
        <f>VLOOKUP(B6,Factores!$A$5:$B$7,2,FALSE)</f>
        <v>0</v>
      </c>
    </row>
    <row r="7" spans="1:3">
      <c r="A7" s="3" t="s">
        <v>7</v>
      </c>
      <c r="B7" s="9" t="s">
        <v>8</v>
      </c>
      <c r="C7" s="10">
        <f>VLOOKUP(B7,Factores!$A$10:$B$11,2,FALSE)</f>
        <v>0</v>
      </c>
    </row>
    <row r="8" spans="1:3">
      <c r="A8" s="3" t="s">
        <v>10</v>
      </c>
      <c r="B8" s="9" t="s">
        <v>11</v>
      </c>
      <c r="C8" s="10">
        <f>VLOOKUP(B8,Factores!$A$14:$B$16,2,FALSE)</f>
        <v>0</v>
      </c>
    </row>
    <row r="9" spans="1:3">
      <c r="A9" s="3" t="s">
        <v>14</v>
      </c>
      <c r="B9" s="9" t="s">
        <v>15</v>
      </c>
      <c r="C9" s="10">
        <f>VLOOKUP(B9,Factores!$A$19:$B$25,2,FALSE)</f>
        <v>0</v>
      </c>
    </row>
    <row r="10" spans="1:3">
      <c r="A10" s="3" t="s">
        <v>22</v>
      </c>
      <c r="B10" s="9" t="s">
        <v>23</v>
      </c>
      <c r="C10" s="10">
        <f>VLOOKUP(B10,Factores!$A$28:$B$32,2,FALSE)</f>
        <v>0</v>
      </c>
    </row>
    <row r="11" spans="1:3">
      <c r="A11" s="3" t="s">
        <v>28</v>
      </c>
      <c r="B11" s="9" t="s">
        <v>29</v>
      </c>
      <c r="C11" s="10">
        <f>VLOOKUP(B11,Factores!$A$35:$B$40,2,FALSE)</f>
        <v>0</v>
      </c>
    </row>
    <row r="13" spans="1:3">
      <c r="A13" s="3" t="s">
        <v>40</v>
      </c>
      <c r="B13" s="11">
        <f>B4*PRODUCT(C6:C11)</f>
        <v>0</v>
      </c>
    </row>
  </sheetData>
  <sheetProtection sheet="1" objects="1" scenarios="1"/>
  <dataValidations count="6">
    <dataValidation type="list" allowBlank="1" showInputMessage="1" showErrorMessage="1" sqref="B6">
      <formula1>Factores!$A$5:$A$7</formula1>
    </dataValidation>
    <dataValidation type="list" allowBlank="1" showInputMessage="1" showErrorMessage="1" sqref="B7">
      <formula1>Factores!$A$10:$A$11</formula1>
    </dataValidation>
    <dataValidation type="list" allowBlank="1" showInputMessage="1" showErrorMessage="1" sqref="B8">
      <formula1>Factores!$A$14:$A$16</formula1>
    </dataValidation>
    <dataValidation type="list" allowBlank="1" showInputMessage="1" showErrorMessage="1" sqref="B9">
      <formula1>Factores!$A$19:$A$25</formula1>
    </dataValidation>
    <dataValidation type="list" allowBlank="1" showInputMessage="1" showErrorMessage="1" sqref="B10">
      <formula1>Factores!$A$28:$A$32</formula1>
    </dataValidation>
    <dataValidation type="list" allowBlank="1" showInputMessage="1" showErrorMessage="1" sqref="B11">
      <formula1>Factores!$A$35:$A$40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1" width="20.7109375" customWidth="1"/>
    <col min="2" max="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8" t="s">
        <v>2</v>
      </c>
      <c r="B4" s="8" t="s">
        <v>3</v>
      </c>
    </row>
    <row r="5" spans="1:2">
      <c r="A5" s="6" t="s">
        <v>4</v>
      </c>
      <c r="B5" s="10">
        <v>1</v>
      </c>
    </row>
    <row r="6" spans="1:2">
      <c r="A6" s="6" t="s">
        <v>5</v>
      </c>
      <c r="B6" s="10">
        <v>0.3990342210708229</v>
      </c>
    </row>
    <row r="7" spans="1:2">
      <c r="A7" s="6" t="s">
        <v>6</v>
      </c>
      <c r="B7" s="10">
        <v>0.226057541139863</v>
      </c>
    </row>
    <row r="9" spans="1:2">
      <c r="A9" s="8" t="s">
        <v>7</v>
      </c>
      <c r="B9" s="8" t="s">
        <v>3</v>
      </c>
    </row>
    <row r="10" spans="1:2">
      <c r="A10" s="6" t="s">
        <v>8</v>
      </c>
      <c r="B10" s="10">
        <v>1</v>
      </c>
    </row>
    <row r="11" spans="1:2">
      <c r="A11" s="6" t="s">
        <v>9</v>
      </c>
      <c r="B11" s="10">
        <v>1.151726390438161</v>
      </c>
    </row>
    <row r="13" spans="1:2">
      <c r="A13" s="8" t="s">
        <v>10</v>
      </c>
      <c r="B13" s="8" t="s">
        <v>3</v>
      </c>
    </row>
    <row r="14" spans="1:2">
      <c r="A14" s="6" t="s">
        <v>11</v>
      </c>
      <c r="B14" s="10">
        <v>1</v>
      </c>
    </row>
    <row r="15" spans="1:2">
      <c r="A15" s="6" t="s">
        <v>12</v>
      </c>
      <c r="B15" s="10">
        <v>0.8608226110801601</v>
      </c>
    </row>
    <row r="16" spans="1:2">
      <c r="A16" s="6" t="s">
        <v>13</v>
      </c>
      <c r="B16" s="10">
        <v>0.7459738329372151</v>
      </c>
    </row>
    <row r="18" spans="1:2">
      <c r="A18" s="8" t="s">
        <v>14</v>
      </c>
      <c r="B18" s="8" t="s">
        <v>3</v>
      </c>
    </row>
    <row r="19" spans="1:2">
      <c r="A19" s="6" t="s">
        <v>15</v>
      </c>
      <c r="B19" s="10">
        <v>1</v>
      </c>
    </row>
    <row r="20" spans="1:2">
      <c r="A20" s="6" t="s">
        <v>16</v>
      </c>
      <c r="B20" s="10">
        <v>0.8158456992014907</v>
      </c>
    </row>
    <row r="21" spans="1:2">
      <c r="A21" s="6" t="s">
        <v>17</v>
      </c>
      <c r="B21" s="10">
        <v>0.7920394002959287</v>
      </c>
    </row>
    <row r="22" spans="1:2">
      <c r="A22" s="6" t="s">
        <v>18</v>
      </c>
      <c r="B22" s="10">
        <v>0.7837151636823814</v>
      </c>
    </row>
    <row r="23" spans="1:2">
      <c r="A23" s="6" t="s">
        <v>19</v>
      </c>
      <c r="B23" s="10">
        <v>0.6700646531836969</v>
      </c>
    </row>
    <row r="24" spans="1:2">
      <c r="A24" s="6" t="s">
        <v>20</v>
      </c>
      <c r="B24" s="10">
        <v>0.8496015435449098</v>
      </c>
    </row>
    <row r="25" spans="1:2">
      <c r="A25" s="6" t="s">
        <v>21</v>
      </c>
      <c r="B25" s="10">
        <v>0.741987835791265</v>
      </c>
    </row>
    <row r="27" spans="1:2">
      <c r="A27" s="8" t="s">
        <v>22</v>
      </c>
      <c r="B27" s="8" t="s">
        <v>3</v>
      </c>
    </row>
    <row r="28" spans="1:2">
      <c r="A28" s="6" t="s">
        <v>23</v>
      </c>
      <c r="B28" s="10">
        <v>1</v>
      </c>
    </row>
    <row r="29" spans="1:2">
      <c r="A29" s="6" t="s">
        <v>24</v>
      </c>
      <c r="B29" s="10">
        <v>1.075601641147844</v>
      </c>
    </row>
    <row r="30" spans="1:2">
      <c r="A30" s="6" t="s">
        <v>25</v>
      </c>
      <c r="B30" s="10">
        <v>1.135909208641044</v>
      </c>
    </row>
    <row r="31" spans="1:2">
      <c r="A31" s="6" t="s">
        <v>26</v>
      </c>
      <c r="B31" s="10">
        <v>2.238621016811294</v>
      </c>
    </row>
    <row r="32" spans="1:2">
      <c r="A32" s="6" t="s">
        <v>27</v>
      </c>
      <c r="B32" s="10">
        <v>0.4945725250858551</v>
      </c>
    </row>
    <row r="34" spans="1:2">
      <c r="A34" s="8" t="s">
        <v>28</v>
      </c>
      <c r="B34" s="8" t="s">
        <v>3</v>
      </c>
    </row>
    <row r="35" spans="1:2">
      <c r="A35" s="6" t="s">
        <v>29</v>
      </c>
      <c r="B35" s="10">
        <v>1</v>
      </c>
    </row>
    <row r="36" spans="1:2">
      <c r="A36" s="6" t="s">
        <v>30</v>
      </c>
      <c r="B36" s="10">
        <v>0.9780099160224922</v>
      </c>
    </row>
    <row r="37" spans="1:2">
      <c r="A37" s="6" t="s">
        <v>31</v>
      </c>
      <c r="B37" s="10">
        <v>1.231196022857166</v>
      </c>
    </row>
    <row r="38" spans="1:2">
      <c r="A38" s="6" t="s">
        <v>32</v>
      </c>
      <c r="B38" s="10">
        <v>1.974792513952614</v>
      </c>
    </row>
    <row r="39" spans="1:2">
      <c r="A39" s="6" t="s">
        <v>33</v>
      </c>
      <c r="B39" s="10">
        <v>1.205993159764108</v>
      </c>
    </row>
    <row r="40" spans="1:2">
      <c r="A40" s="6" t="s">
        <v>34</v>
      </c>
      <c r="B40" s="10">
        <v>1.500960020631984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6" width="16.7109375" customWidth="1"/>
  </cols>
  <sheetData>
    <row r="1" spans="1:9">
      <c r="A1" s="8" t="s">
        <v>2</v>
      </c>
      <c r="B1" s="8" t="s">
        <v>7</v>
      </c>
      <c r="C1" s="8" t="s">
        <v>10</v>
      </c>
      <c r="D1" s="8" t="s">
        <v>14</v>
      </c>
      <c r="E1" s="8" t="s">
        <v>22</v>
      </c>
      <c r="F1" s="8" t="s">
        <v>28</v>
      </c>
      <c r="G1" s="8" t="s">
        <v>41</v>
      </c>
      <c r="H1" s="8" t="s">
        <v>42</v>
      </c>
      <c r="I1" s="8" t="s">
        <v>43</v>
      </c>
    </row>
    <row r="2" spans="1:9">
      <c r="A2" s="6" t="s">
        <v>4</v>
      </c>
      <c r="B2" s="6" t="s">
        <v>9</v>
      </c>
      <c r="C2" s="6" t="s">
        <v>12</v>
      </c>
      <c r="D2" s="6" t="s">
        <v>21</v>
      </c>
      <c r="E2" s="6" t="s">
        <v>26</v>
      </c>
      <c r="F2" s="6" t="s">
        <v>34</v>
      </c>
      <c r="G2" s="7">
        <v>1112.295767323279</v>
      </c>
      <c r="H2" s="7">
        <f>449.9982382283797*VLOOKUP(A2,Factores!$A$5:$B$7,2,FALSE)*VLOOKUP(B2,Factores!$A$10:$B$11,2,FALSE)*VLOOKUP(C2,Factores!$A$14:$B$16,2,FALSE)*VLOOKUP(D2,Factores!$A$19:$B$25,2,FALSE)*VLOOKUP(E2,Factores!$A$28:$B$32,2,FALSE)*VLOOKUP(F2,Factores!$A$35:$B$40,2,FALSE)</f>
        <v>0</v>
      </c>
      <c r="I2" s="7">
        <f>H2-G2</f>
        <v>0</v>
      </c>
    </row>
    <row r="3" spans="1:9">
      <c r="A3" s="6" t="s">
        <v>6</v>
      </c>
      <c r="B3" s="6" t="s">
        <v>9</v>
      </c>
      <c r="C3" s="6" t="s">
        <v>12</v>
      </c>
      <c r="D3" s="6" t="s">
        <v>21</v>
      </c>
      <c r="E3" s="6" t="s">
        <v>26</v>
      </c>
      <c r="F3" s="6" t="s">
        <v>34</v>
      </c>
      <c r="G3" s="7">
        <v>251.4428461813777</v>
      </c>
      <c r="H3" s="7">
        <f>449.9982382283797*VLOOKUP(A3,Factores!$A$5:$B$7,2,FALSE)*VLOOKUP(B3,Factores!$A$10:$B$11,2,FALSE)*VLOOKUP(C3,Factores!$A$14:$B$16,2,FALSE)*VLOOKUP(D3,Factores!$A$19:$B$25,2,FALSE)*VLOOKUP(E3,Factores!$A$28:$B$32,2,FALSE)*VLOOKUP(F3,Factores!$A$35:$B$40,2,FALSE)</f>
        <v>0</v>
      </c>
      <c r="I3" s="7">
        <f>H3-G3</f>
        <v>0</v>
      </c>
    </row>
    <row r="4" spans="1:9">
      <c r="A4" s="6" t="s">
        <v>5</v>
      </c>
      <c r="B4" s="6" t="s">
        <v>9</v>
      </c>
      <c r="C4" s="6" t="s">
        <v>12</v>
      </c>
      <c r="D4" s="6" t="s">
        <v>15</v>
      </c>
      <c r="E4" s="6" t="s">
        <v>26</v>
      </c>
      <c r="F4" s="6" t="s">
        <v>32</v>
      </c>
      <c r="G4" s="7">
        <v>787.0203988231819</v>
      </c>
      <c r="H4" s="7">
        <f>449.9982382283797*VLOOKUP(A4,Factores!$A$5:$B$7,2,FALSE)*VLOOKUP(B4,Factores!$A$10:$B$11,2,FALSE)*VLOOKUP(C4,Factores!$A$14:$B$16,2,FALSE)*VLOOKUP(D4,Factores!$A$19:$B$25,2,FALSE)*VLOOKUP(E4,Factores!$A$28:$B$32,2,FALSE)*VLOOKUP(F4,Factores!$A$35:$B$40,2,FALSE)</f>
        <v>0</v>
      </c>
      <c r="I4" s="7">
        <f>H4-G4</f>
        <v>0</v>
      </c>
    </row>
    <row r="5" spans="1:9">
      <c r="A5" s="6" t="s">
        <v>4</v>
      </c>
      <c r="B5" s="6" t="s">
        <v>9</v>
      </c>
      <c r="C5" s="6" t="s">
        <v>12</v>
      </c>
      <c r="D5" s="6" t="s">
        <v>21</v>
      </c>
      <c r="E5" s="6" t="s">
        <v>26</v>
      </c>
      <c r="F5" s="6" t="s">
        <v>32</v>
      </c>
      <c r="G5" s="7">
        <v>1463.432286281899</v>
      </c>
      <c r="H5" s="7">
        <f>449.9982382283797*VLOOKUP(A5,Factores!$A$5:$B$7,2,FALSE)*VLOOKUP(B5,Factores!$A$10:$B$11,2,FALSE)*VLOOKUP(C5,Factores!$A$14:$B$16,2,FALSE)*VLOOKUP(D5,Factores!$A$19:$B$25,2,FALSE)*VLOOKUP(E5,Factores!$A$28:$B$32,2,FALSE)*VLOOKUP(F5,Factores!$A$35:$B$40,2,FALSE)</f>
        <v>0</v>
      </c>
      <c r="I5" s="7">
        <f>H5-G5</f>
        <v>0</v>
      </c>
    </row>
    <row r="6" spans="1:9">
      <c r="A6" s="6" t="s">
        <v>6</v>
      </c>
      <c r="B6" s="6" t="s">
        <v>8</v>
      </c>
      <c r="C6" s="6" t="s">
        <v>12</v>
      </c>
      <c r="D6" s="6" t="s">
        <v>18</v>
      </c>
      <c r="E6" s="6" t="s">
        <v>24</v>
      </c>
      <c r="F6" s="6" t="s">
        <v>34</v>
      </c>
      <c r="G6" s="7">
        <v>110.795547898015</v>
      </c>
      <c r="H6" s="7">
        <f>449.9982382283797*VLOOKUP(A6,Factores!$A$5:$B$7,2,FALSE)*VLOOKUP(B6,Factores!$A$10:$B$11,2,FALSE)*VLOOKUP(C6,Factores!$A$14:$B$16,2,FALSE)*VLOOKUP(D6,Factores!$A$19:$B$25,2,FALSE)*VLOOKUP(E6,Factores!$A$28:$B$32,2,FALSE)*VLOOKUP(F6,Factores!$A$35:$B$40,2,FALSE)</f>
        <v>0</v>
      </c>
      <c r="I6" s="7">
        <f>H6-G6</f>
        <v>0</v>
      </c>
    </row>
    <row r="7" spans="1:9">
      <c r="A7" s="6" t="s">
        <v>4</v>
      </c>
      <c r="B7" s="6" t="s">
        <v>9</v>
      </c>
      <c r="C7" s="6" t="s">
        <v>12</v>
      </c>
      <c r="D7" s="6" t="s">
        <v>15</v>
      </c>
      <c r="E7" s="6" t="s">
        <v>26</v>
      </c>
      <c r="F7" s="6" t="s">
        <v>32</v>
      </c>
      <c r="G7" s="7">
        <v>1972.313043004642</v>
      </c>
      <c r="H7" s="7">
        <f>449.9982382283797*VLOOKUP(A7,Factores!$A$5:$B$7,2,FALSE)*VLOOKUP(B7,Factores!$A$10:$B$11,2,FALSE)*VLOOKUP(C7,Factores!$A$14:$B$16,2,FALSE)*VLOOKUP(D7,Factores!$A$19:$B$25,2,FALSE)*VLOOKUP(E7,Factores!$A$28:$B$32,2,FALSE)*VLOOKUP(F7,Factores!$A$35:$B$40,2,FALSE)</f>
        <v>0</v>
      </c>
      <c r="I7" s="7">
        <f>H7-G7</f>
        <v>0</v>
      </c>
    </row>
    <row r="8" spans="1:9">
      <c r="A8" s="6" t="s">
        <v>5</v>
      </c>
      <c r="B8" s="6" t="s">
        <v>9</v>
      </c>
      <c r="C8" s="6" t="s">
        <v>11</v>
      </c>
      <c r="D8" s="6" t="s">
        <v>21</v>
      </c>
      <c r="E8" s="6" t="s">
        <v>26</v>
      </c>
      <c r="F8" s="6" t="s">
        <v>31</v>
      </c>
      <c r="G8" s="7">
        <v>422.9361817416172</v>
      </c>
      <c r="H8" s="7">
        <f>449.9982382283797*VLOOKUP(A8,Factores!$A$5:$B$7,2,FALSE)*VLOOKUP(B8,Factores!$A$10:$B$11,2,FALSE)*VLOOKUP(C8,Factores!$A$14:$B$16,2,FALSE)*VLOOKUP(D8,Factores!$A$19:$B$25,2,FALSE)*VLOOKUP(E8,Factores!$A$28:$B$32,2,FALSE)*VLOOKUP(F8,Factores!$A$35:$B$40,2,FALSE)</f>
        <v>0</v>
      </c>
      <c r="I8" s="7">
        <f>H8-G8</f>
        <v>0</v>
      </c>
    </row>
    <row r="9" spans="1:9">
      <c r="A9" s="6" t="s">
        <v>6</v>
      </c>
      <c r="B9" s="6" t="s">
        <v>8</v>
      </c>
      <c r="C9" s="6" t="s">
        <v>12</v>
      </c>
      <c r="D9" s="6" t="s">
        <v>21</v>
      </c>
      <c r="E9" s="6" t="s">
        <v>24</v>
      </c>
      <c r="F9" s="6" t="s">
        <v>32</v>
      </c>
      <c r="G9" s="7">
        <v>138.0108379661477</v>
      </c>
      <c r="H9" s="7">
        <f>449.9982382283797*VLOOKUP(A9,Factores!$A$5:$B$7,2,FALSE)*VLOOKUP(B9,Factores!$A$10:$B$11,2,FALSE)*VLOOKUP(C9,Factores!$A$14:$B$16,2,FALSE)*VLOOKUP(D9,Factores!$A$19:$B$25,2,FALSE)*VLOOKUP(E9,Factores!$A$28:$B$32,2,FALSE)*VLOOKUP(F9,Factores!$A$35:$B$40,2,FALSE)</f>
        <v>0</v>
      </c>
      <c r="I9" s="7">
        <f>H9-G9</f>
        <v>0</v>
      </c>
    </row>
    <row r="11" spans="1:9">
      <c r="A11" s="2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cols>
    <col min="1" max="6" width="15.7109375" customWidth="1"/>
    <col min="7" max="7" width="14.7109375" customWidth="1"/>
    <col min="8" max="8" width="12.7109375" customWidth="1"/>
  </cols>
  <sheetData>
    <row r="1" spans="1:8">
      <c r="A1" s="8" t="s">
        <v>45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52</v>
      </c>
    </row>
    <row r="2" spans="1:8">
      <c r="A2" t="s">
        <v>6</v>
      </c>
      <c r="B2" t="s">
        <v>9</v>
      </c>
      <c r="C2" t="s">
        <v>12</v>
      </c>
      <c r="D2" t="s">
        <v>16</v>
      </c>
      <c r="E2" t="s">
        <v>26</v>
      </c>
      <c r="F2" t="s">
        <v>31</v>
      </c>
      <c r="G2" s="12">
        <v>226.7820131920661</v>
      </c>
      <c r="H2" s="13">
        <v>-0.4960379976488455</v>
      </c>
    </row>
    <row r="3" spans="1:8">
      <c r="A3" t="s">
        <v>4</v>
      </c>
      <c r="B3" t="s">
        <v>9</v>
      </c>
      <c r="C3" t="s">
        <v>12</v>
      </c>
      <c r="D3" t="s">
        <v>21</v>
      </c>
      <c r="E3" t="s">
        <v>26</v>
      </c>
      <c r="F3" t="s">
        <v>32</v>
      </c>
      <c r="G3" s="12">
        <v>1463.432286281899</v>
      </c>
      <c r="H3" s="13">
        <v>2.252084479360091</v>
      </c>
    </row>
    <row r="4" spans="1:8">
      <c r="A4" t="s">
        <v>6</v>
      </c>
      <c r="B4" t="s">
        <v>9</v>
      </c>
      <c r="C4" t="s">
        <v>12</v>
      </c>
      <c r="D4" t="s">
        <v>17</v>
      </c>
      <c r="E4" t="s">
        <v>26</v>
      </c>
      <c r="F4" t="s">
        <v>34</v>
      </c>
      <c r="G4" s="12">
        <v>268.4041860144796</v>
      </c>
      <c r="H4" s="13">
        <v>-0.4035439181469392</v>
      </c>
    </row>
    <row r="5" spans="1:8">
      <c r="A5" t="s">
        <v>5</v>
      </c>
      <c r="B5" t="s">
        <v>9</v>
      </c>
      <c r="C5" t="s">
        <v>12</v>
      </c>
      <c r="D5" t="s">
        <v>18</v>
      </c>
      <c r="E5" t="s">
        <v>26</v>
      </c>
      <c r="F5" t="s">
        <v>32</v>
      </c>
      <c r="G5" s="12">
        <v>616.799820685083</v>
      </c>
      <c r="H5" s="13">
        <v>0.3706716344343761</v>
      </c>
    </row>
    <row r="6" spans="1:8">
      <c r="A6" t="s">
        <v>5</v>
      </c>
      <c r="B6" t="s">
        <v>8</v>
      </c>
      <c r="C6" t="s">
        <v>12</v>
      </c>
      <c r="D6" t="s">
        <v>21</v>
      </c>
      <c r="E6" t="s">
        <v>26</v>
      </c>
      <c r="F6" t="s">
        <v>32</v>
      </c>
      <c r="G6" s="12">
        <v>507.0297661793009</v>
      </c>
      <c r="H6" s="13">
        <v>0.1267372249621497</v>
      </c>
    </row>
    <row r="7" spans="1:8">
      <c r="A7" t="s">
        <v>5</v>
      </c>
      <c r="B7" t="s">
        <v>9</v>
      </c>
      <c r="C7" t="s">
        <v>12</v>
      </c>
      <c r="D7" t="s">
        <v>15</v>
      </c>
      <c r="E7" t="s">
        <v>24</v>
      </c>
      <c r="F7" t="s">
        <v>32</v>
      </c>
      <c r="G7" s="12">
        <v>378.1436992836037</v>
      </c>
      <c r="H7" s="13">
        <v>-0.1596773783552214</v>
      </c>
    </row>
    <row r="8" spans="1:8">
      <c r="A8" t="s">
        <v>6</v>
      </c>
      <c r="B8" t="s">
        <v>9</v>
      </c>
      <c r="C8" t="s">
        <v>12</v>
      </c>
      <c r="D8" t="s">
        <v>20</v>
      </c>
      <c r="E8" t="s">
        <v>26</v>
      </c>
      <c r="F8" t="s">
        <v>33</v>
      </c>
      <c r="G8" s="12">
        <v>231.3308274233071</v>
      </c>
      <c r="H8" s="13">
        <v>-0.4859294820040965</v>
      </c>
    </row>
    <row r="9" spans="1:8">
      <c r="A9" t="s">
        <v>4</v>
      </c>
      <c r="B9" t="s">
        <v>8</v>
      </c>
      <c r="C9" t="s">
        <v>12</v>
      </c>
      <c r="D9" t="s">
        <v>19</v>
      </c>
      <c r="E9" t="s">
        <v>26</v>
      </c>
      <c r="F9" t="s">
        <v>29</v>
      </c>
      <c r="G9" s="12">
        <v>581.0610507911974</v>
      </c>
      <c r="H9" s="13">
        <v>0.2912518348489661</v>
      </c>
    </row>
    <row r="10" spans="1:8">
      <c r="A10" t="s">
        <v>5</v>
      </c>
      <c r="B10" t="s">
        <v>8</v>
      </c>
      <c r="C10" t="s">
        <v>11</v>
      </c>
      <c r="D10" t="s">
        <v>21</v>
      </c>
      <c r="E10" t="s">
        <v>26</v>
      </c>
      <c r="F10" t="s">
        <v>32</v>
      </c>
      <c r="G10" s="12">
        <v>589.0060967881408</v>
      </c>
      <c r="H10" s="13">
        <v>0.3089075617429704</v>
      </c>
    </row>
    <row r="11" spans="1:8">
      <c r="A11" t="s">
        <v>5</v>
      </c>
      <c r="B11" t="s">
        <v>8</v>
      </c>
      <c r="C11" t="s">
        <v>11</v>
      </c>
      <c r="D11" t="s">
        <v>21</v>
      </c>
      <c r="E11" t="s">
        <v>24</v>
      </c>
      <c r="F11" t="s">
        <v>34</v>
      </c>
      <c r="G11" s="12">
        <v>215.098965661566</v>
      </c>
      <c r="H11" s="13">
        <v>-0.5220004271385601</v>
      </c>
    </row>
    <row r="12" spans="1:8">
      <c r="A12" t="s">
        <v>6</v>
      </c>
      <c r="B12" t="s">
        <v>9</v>
      </c>
      <c r="C12" t="s">
        <v>11</v>
      </c>
      <c r="D12" t="s">
        <v>19</v>
      </c>
      <c r="E12" t="s">
        <v>26</v>
      </c>
      <c r="F12" t="s">
        <v>34</v>
      </c>
      <c r="G12" s="12">
        <v>263.7822336328795</v>
      </c>
      <c r="H12" s="13">
        <v>-0.4138149636510204</v>
      </c>
    </row>
    <row r="13" spans="1:8">
      <c r="A13" t="s">
        <v>6</v>
      </c>
      <c r="B13" t="s">
        <v>8</v>
      </c>
      <c r="C13" t="s">
        <v>11</v>
      </c>
      <c r="D13" t="s">
        <v>21</v>
      </c>
      <c r="E13" t="s">
        <v>26</v>
      </c>
      <c r="F13" t="s">
        <v>33</v>
      </c>
      <c r="G13" s="12">
        <v>203.7755245005768</v>
      </c>
      <c r="H13" s="13">
        <v>-0.5471637282340687</v>
      </c>
    </row>
    <row r="14" spans="1:8">
      <c r="A14" t="s">
        <v>6</v>
      </c>
      <c r="B14" t="s">
        <v>9</v>
      </c>
      <c r="C14" t="s">
        <v>12</v>
      </c>
      <c r="D14" t="s">
        <v>21</v>
      </c>
      <c r="E14" t="s">
        <v>26</v>
      </c>
      <c r="F14" t="s">
        <v>32</v>
      </c>
      <c r="G14" s="12">
        <v>330.819904261574</v>
      </c>
      <c r="H14" s="13">
        <v>-0.2648417790167462</v>
      </c>
    </row>
    <row r="15" spans="1:8">
      <c r="A15" t="s">
        <v>4</v>
      </c>
      <c r="B15" t="s">
        <v>8</v>
      </c>
      <c r="C15" t="s">
        <v>11</v>
      </c>
      <c r="D15" t="s">
        <v>17</v>
      </c>
      <c r="E15" t="s">
        <v>26</v>
      </c>
      <c r="F15" t="s">
        <v>34</v>
      </c>
      <c r="G15" s="12">
        <v>1197.587628843484</v>
      </c>
      <c r="H15" s="13">
        <v>1.661316261055435</v>
      </c>
    </row>
    <row r="16" spans="1:8">
      <c r="A16" t="s">
        <v>5</v>
      </c>
      <c r="B16" t="s">
        <v>8</v>
      </c>
      <c r="C16" t="s">
        <v>13</v>
      </c>
      <c r="D16" t="s">
        <v>21</v>
      </c>
      <c r="E16" t="s">
        <v>26</v>
      </c>
      <c r="F16" t="s">
        <v>32</v>
      </c>
      <c r="G16" s="12">
        <v>439.3831356444377</v>
      </c>
      <c r="H16" s="13">
        <v>-0.02358920920609187</v>
      </c>
    </row>
    <row r="17" spans="1:8">
      <c r="A17" t="s">
        <v>6</v>
      </c>
      <c r="B17" t="s">
        <v>9</v>
      </c>
      <c r="C17" t="s">
        <v>12</v>
      </c>
      <c r="D17" t="s">
        <v>21</v>
      </c>
      <c r="E17" t="s">
        <v>26</v>
      </c>
      <c r="F17" t="s">
        <v>32</v>
      </c>
      <c r="G17" s="12">
        <v>330.819904261574</v>
      </c>
      <c r="H17" s="13">
        <v>-0.2648417790167462</v>
      </c>
    </row>
    <row r="18" spans="1:8">
      <c r="A18" t="s">
        <v>5</v>
      </c>
      <c r="B18" t="s">
        <v>8</v>
      </c>
      <c r="C18" t="s">
        <v>12</v>
      </c>
      <c r="D18" t="s">
        <v>17</v>
      </c>
      <c r="E18" t="s">
        <v>24</v>
      </c>
      <c r="F18" t="s">
        <v>29</v>
      </c>
      <c r="G18" s="12">
        <v>131.683955773502</v>
      </c>
      <c r="H18" s="13">
        <v>-0.7073678415010354</v>
      </c>
    </row>
    <row r="19" spans="1:8">
      <c r="A19" t="s">
        <v>4</v>
      </c>
      <c r="B19" t="s">
        <v>9</v>
      </c>
      <c r="C19" t="s">
        <v>12</v>
      </c>
      <c r="D19" t="s">
        <v>21</v>
      </c>
      <c r="E19" t="s">
        <v>26</v>
      </c>
      <c r="F19" t="s">
        <v>32</v>
      </c>
      <c r="G19" s="12">
        <v>1463.432286281899</v>
      </c>
      <c r="H19" s="13">
        <v>2.252084479360091</v>
      </c>
    </row>
    <row r="20" spans="1:8">
      <c r="A20" t="s">
        <v>5</v>
      </c>
      <c r="B20" t="s">
        <v>8</v>
      </c>
      <c r="C20" t="s">
        <v>12</v>
      </c>
      <c r="D20" t="s">
        <v>19</v>
      </c>
      <c r="E20" t="s">
        <v>24</v>
      </c>
      <c r="F20" t="s">
        <v>32</v>
      </c>
      <c r="G20" s="12">
        <v>220.0007995107868</v>
      </c>
      <c r="H20" s="13">
        <v>-0.5111074203825356</v>
      </c>
    </row>
    <row r="21" spans="1:8">
      <c r="A21" t="s">
        <v>5</v>
      </c>
      <c r="B21" t="s">
        <v>9</v>
      </c>
      <c r="C21" t="s">
        <v>13</v>
      </c>
      <c r="D21" t="s">
        <v>21</v>
      </c>
      <c r="E21" t="s">
        <v>26</v>
      </c>
      <c r="F21" t="s">
        <v>32</v>
      </c>
      <c r="G21" s="12">
        <v>506.0491528351691</v>
      </c>
      <c r="H21" s="13">
        <v>0.1245580756659384</v>
      </c>
    </row>
    <row r="22" spans="1:8">
      <c r="A22" t="s">
        <v>5</v>
      </c>
      <c r="B22" t="s">
        <v>9</v>
      </c>
      <c r="C22" t="s">
        <v>13</v>
      </c>
      <c r="D22" t="s">
        <v>15</v>
      </c>
      <c r="E22" t="s">
        <v>24</v>
      </c>
      <c r="F22" t="s">
        <v>32</v>
      </c>
      <c r="G22" s="12">
        <v>327.6927221993935</v>
      </c>
      <c r="H22" s="13">
        <v>-0.2717910996951829</v>
      </c>
    </row>
    <row r="23" spans="1:8">
      <c r="A23" t="s">
        <v>4</v>
      </c>
      <c r="B23" t="s">
        <v>8</v>
      </c>
      <c r="C23" t="s">
        <v>12</v>
      </c>
      <c r="D23" t="s">
        <v>17</v>
      </c>
      <c r="E23" t="s">
        <v>25</v>
      </c>
      <c r="F23" t="s">
        <v>32</v>
      </c>
      <c r="G23" s="12">
        <v>688.2343717201219</v>
      </c>
      <c r="H23" s="13">
        <v>0.5294157026695612</v>
      </c>
    </row>
    <row r="24" spans="1:8">
      <c r="A24" t="s">
        <v>5</v>
      </c>
      <c r="B24" t="s">
        <v>9</v>
      </c>
      <c r="C24" t="s">
        <v>12</v>
      </c>
      <c r="D24" t="s">
        <v>15</v>
      </c>
      <c r="E24" t="s">
        <v>26</v>
      </c>
      <c r="F24" t="s">
        <v>34</v>
      </c>
      <c r="G24" s="12">
        <v>598.182414460875</v>
      </c>
      <c r="H24" s="13">
        <v>0.3292994586287468</v>
      </c>
    </row>
    <row r="25" spans="1:8">
      <c r="A25" t="s">
        <v>4</v>
      </c>
      <c r="B25" t="s">
        <v>8</v>
      </c>
      <c r="C25" t="s">
        <v>12</v>
      </c>
      <c r="D25" t="s">
        <v>21</v>
      </c>
      <c r="E25" t="s">
        <v>26</v>
      </c>
      <c r="F25" t="s">
        <v>33</v>
      </c>
      <c r="G25" s="12">
        <v>775.9731358233513</v>
      </c>
      <c r="H25" s="13">
        <v>0.7243914973496748</v>
      </c>
    </row>
    <row r="26" spans="1:8">
      <c r="A26" t="s">
        <v>6</v>
      </c>
      <c r="B26" t="s">
        <v>9</v>
      </c>
      <c r="C26" t="s">
        <v>12</v>
      </c>
      <c r="D26" t="s">
        <v>21</v>
      </c>
      <c r="E26" t="s">
        <v>26</v>
      </c>
      <c r="F26" t="s">
        <v>33</v>
      </c>
      <c r="G26" s="12">
        <v>202.0295999880669</v>
      </c>
      <c r="H26" s="13">
        <v>-0.5510435756738801</v>
      </c>
    </row>
    <row r="27" spans="1:8">
      <c r="A27" t="s">
        <v>4</v>
      </c>
      <c r="B27" t="s">
        <v>9</v>
      </c>
      <c r="C27" t="s">
        <v>11</v>
      </c>
      <c r="D27" t="s">
        <v>20</v>
      </c>
      <c r="E27" t="s">
        <v>26</v>
      </c>
      <c r="F27" t="s">
        <v>33</v>
      </c>
      <c r="G27" s="12">
        <v>1188.778236904633</v>
      </c>
      <c r="H27" s="13">
        <v>1.641739757881704</v>
      </c>
    </row>
    <row r="28" spans="1:8">
      <c r="A28" t="s">
        <v>5</v>
      </c>
      <c r="B28" t="s">
        <v>8</v>
      </c>
      <c r="C28" t="s">
        <v>12</v>
      </c>
      <c r="D28" t="s">
        <v>21</v>
      </c>
      <c r="E28" t="s">
        <v>26</v>
      </c>
      <c r="F28" t="s">
        <v>32</v>
      </c>
      <c r="G28" s="12">
        <v>507.0297661793009</v>
      </c>
      <c r="H28" s="13">
        <v>0.1267372249621497</v>
      </c>
    </row>
    <row r="29" spans="1:8">
      <c r="A29" t="s">
        <v>6</v>
      </c>
      <c r="B29" t="s">
        <v>8</v>
      </c>
      <c r="C29" t="s">
        <v>13</v>
      </c>
      <c r="D29" t="s">
        <v>15</v>
      </c>
      <c r="E29" t="s">
        <v>26</v>
      </c>
      <c r="F29" t="s">
        <v>33</v>
      </c>
      <c r="G29" s="12">
        <v>204.8702171894504</v>
      </c>
      <c r="H29" s="13">
        <v>-0.5447310682903692</v>
      </c>
    </row>
    <row r="30" spans="1:8">
      <c r="A30" t="s">
        <v>6</v>
      </c>
      <c r="B30" t="s">
        <v>8</v>
      </c>
      <c r="C30" t="s">
        <v>12</v>
      </c>
      <c r="D30" t="s">
        <v>21</v>
      </c>
      <c r="E30" t="s">
        <v>26</v>
      </c>
      <c r="F30" t="s">
        <v>29</v>
      </c>
      <c r="G30" s="12">
        <v>145.4523830874187</v>
      </c>
      <c r="H30" s="13">
        <v>-0.6767712165717417</v>
      </c>
    </row>
    <row r="31" spans="1:8">
      <c r="A31" t="s">
        <v>6</v>
      </c>
      <c r="B31" t="s">
        <v>8</v>
      </c>
      <c r="C31" t="s">
        <v>12</v>
      </c>
      <c r="D31" t="s">
        <v>21</v>
      </c>
      <c r="E31" t="s">
        <v>26</v>
      </c>
      <c r="F31" t="s">
        <v>32</v>
      </c>
      <c r="G31" s="12">
        <v>287.2382772576022</v>
      </c>
      <c r="H31" s="13">
        <v>-0.3616902181918649</v>
      </c>
    </row>
    <row r="32" spans="1:8">
      <c r="A32" t="s">
        <v>4</v>
      </c>
      <c r="B32" t="s">
        <v>8</v>
      </c>
      <c r="C32" t="s">
        <v>12</v>
      </c>
      <c r="D32" t="s">
        <v>21</v>
      </c>
      <c r="E32" t="s">
        <v>26</v>
      </c>
      <c r="F32" t="s">
        <v>29</v>
      </c>
      <c r="G32" s="12">
        <v>643.4307935669644</v>
      </c>
      <c r="H32" s="13">
        <v>0.4298518058651051</v>
      </c>
    </row>
    <row r="33" spans="1:8">
      <c r="A33" t="s">
        <v>4</v>
      </c>
      <c r="B33" t="s">
        <v>9</v>
      </c>
      <c r="C33" t="s">
        <v>11</v>
      </c>
      <c r="D33" t="s">
        <v>20</v>
      </c>
      <c r="E33" t="s">
        <v>26</v>
      </c>
      <c r="F33" t="s">
        <v>34</v>
      </c>
      <c r="G33" s="12">
        <v>1479.534599798428</v>
      </c>
      <c r="H33" s="13">
        <v>2.287867538378107</v>
      </c>
    </row>
    <row r="34" spans="1:8">
      <c r="A34" t="s">
        <v>4</v>
      </c>
      <c r="B34" t="s">
        <v>9</v>
      </c>
      <c r="C34" t="s">
        <v>12</v>
      </c>
      <c r="D34" t="s">
        <v>21</v>
      </c>
      <c r="E34" t="s">
        <v>26</v>
      </c>
      <c r="F34" t="s">
        <v>34</v>
      </c>
      <c r="G34" s="12">
        <v>1112.295767323279</v>
      </c>
      <c r="H34" s="13">
        <v>1.471778048959328</v>
      </c>
    </row>
    <row r="35" spans="1:8">
      <c r="A35" t="s">
        <v>6</v>
      </c>
      <c r="B35" t="s">
        <v>8</v>
      </c>
      <c r="C35" t="s">
        <v>12</v>
      </c>
      <c r="D35" t="s">
        <v>17</v>
      </c>
      <c r="E35" t="s">
        <v>26</v>
      </c>
      <c r="F35" t="s">
        <v>33</v>
      </c>
      <c r="G35" s="12">
        <v>187.247352735126</v>
      </c>
      <c r="H35" s="13">
        <v>-0.5838931426213814</v>
      </c>
    </row>
    <row r="36" spans="1:8">
      <c r="A36" t="s">
        <v>6</v>
      </c>
      <c r="B36" t="s">
        <v>9</v>
      </c>
      <c r="C36" t="s">
        <v>11</v>
      </c>
      <c r="D36" t="s">
        <v>15</v>
      </c>
      <c r="E36" t="s">
        <v>26</v>
      </c>
      <c r="F36" t="s">
        <v>32</v>
      </c>
      <c r="G36" s="12">
        <v>517.9420604440789</v>
      </c>
      <c r="H36" s="13">
        <v>0.1509868627112645</v>
      </c>
    </row>
    <row r="37" spans="1:8">
      <c r="A37" t="s">
        <v>5</v>
      </c>
      <c r="B37" t="s">
        <v>9</v>
      </c>
      <c r="C37" t="s">
        <v>12</v>
      </c>
      <c r="D37" t="s">
        <v>18</v>
      </c>
      <c r="E37" t="s">
        <v>26</v>
      </c>
      <c r="F37" t="s">
        <v>32</v>
      </c>
      <c r="G37" s="12">
        <v>616.799820685083</v>
      </c>
      <c r="H37" s="13">
        <v>0.3706716344343761</v>
      </c>
    </row>
    <row r="38" spans="1:8">
      <c r="A38" t="s">
        <v>6</v>
      </c>
      <c r="B38" t="s">
        <v>8</v>
      </c>
      <c r="C38" t="s">
        <v>12</v>
      </c>
      <c r="D38" t="s">
        <v>21</v>
      </c>
      <c r="E38" t="s">
        <v>23</v>
      </c>
      <c r="F38" t="s">
        <v>32</v>
      </c>
      <c r="G38" s="12">
        <v>128.3103638805046</v>
      </c>
      <c r="H38" s="13">
        <v>-0.7148647417250876</v>
      </c>
    </row>
    <row r="39" spans="1:8">
      <c r="A39" t="s">
        <v>6</v>
      </c>
      <c r="B39" t="s">
        <v>8</v>
      </c>
      <c r="C39" t="s">
        <v>11</v>
      </c>
      <c r="D39" t="s">
        <v>21</v>
      </c>
      <c r="E39" t="s">
        <v>26</v>
      </c>
      <c r="F39" t="s">
        <v>32</v>
      </c>
      <c r="G39" s="12">
        <v>333.6788248361364</v>
      </c>
      <c r="H39" s="13">
        <v>-0.258488597311374</v>
      </c>
    </row>
    <row r="40" spans="1:8">
      <c r="A40" t="s">
        <v>6</v>
      </c>
      <c r="B40" t="s">
        <v>9</v>
      </c>
      <c r="C40" t="s">
        <v>12</v>
      </c>
      <c r="D40" t="s">
        <v>21</v>
      </c>
      <c r="E40" t="s">
        <v>26</v>
      </c>
      <c r="F40" t="s">
        <v>33</v>
      </c>
      <c r="G40" s="12">
        <v>202.0295999880669</v>
      </c>
      <c r="H40" s="13">
        <v>-0.5510435756738801</v>
      </c>
    </row>
    <row r="41" spans="1:8">
      <c r="A41" t="s">
        <v>4</v>
      </c>
      <c r="B41" t="s">
        <v>8</v>
      </c>
      <c r="C41" t="s">
        <v>11</v>
      </c>
      <c r="D41" t="s">
        <v>16</v>
      </c>
      <c r="E41" t="s">
        <v>24</v>
      </c>
      <c r="F41" t="s">
        <v>30</v>
      </c>
      <c r="G41" s="12">
        <v>386.2011443093549</v>
      </c>
      <c r="H41" s="13">
        <v>-0.1417718748637566</v>
      </c>
    </row>
    <row r="42" spans="1:8">
      <c r="A42" t="s">
        <v>6</v>
      </c>
      <c r="B42" t="s">
        <v>9</v>
      </c>
      <c r="C42" t="s">
        <v>11</v>
      </c>
      <c r="D42" t="s">
        <v>17</v>
      </c>
      <c r="E42" t="s">
        <v>26</v>
      </c>
      <c r="F42" t="s">
        <v>34</v>
      </c>
      <c r="G42" s="12">
        <v>311.7996467096584</v>
      </c>
      <c r="H42" s="13">
        <v>-0.3071091834999226</v>
      </c>
    </row>
    <row r="43" spans="1:8">
      <c r="A43" t="s">
        <v>6</v>
      </c>
      <c r="B43" t="s">
        <v>8</v>
      </c>
      <c r="C43" t="s">
        <v>11</v>
      </c>
      <c r="D43" t="s">
        <v>21</v>
      </c>
      <c r="E43" t="s">
        <v>26</v>
      </c>
      <c r="F43" t="s">
        <v>32</v>
      </c>
      <c r="G43" s="12">
        <v>333.6788248361364</v>
      </c>
      <c r="H43" s="13">
        <v>-0.258488597311374</v>
      </c>
    </row>
    <row r="44" spans="1:8">
      <c r="A44" t="s">
        <v>6</v>
      </c>
      <c r="B44" t="s">
        <v>8</v>
      </c>
      <c r="C44" t="s">
        <v>13</v>
      </c>
      <c r="D44" t="s">
        <v>15</v>
      </c>
      <c r="E44" t="s">
        <v>26</v>
      </c>
      <c r="F44" t="s">
        <v>34</v>
      </c>
      <c r="G44" s="12">
        <v>254.978233441808</v>
      </c>
      <c r="H44" s="13">
        <v>-0.4333794851161098</v>
      </c>
    </row>
    <row r="45" spans="1:8">
      <c r="A45" t="s">
        <v>4</v>
      </c>
      <c r="B45" t="s">
        <v>9</v>
      </c>
      <c r="C45" t="s">
        <v>12</v>
      </c>
      <c r="D45" t="s">
        <v>21</v>
      </c>
      <c r="E45" t="s">
        <v>23</v>
      </c>
      <c r="F45" t="s">
        <v>32</v>
      </c>
      <c r="G45" s="12">
        <v>653.7204266787511</v>
      </c>
      <c r="H45" s="13">
        <v>0.452717746745888</v>
      </c>
    </row>
    <row r="46" spans="1:8">
      <c r="A46" t="s">
        <v>6</v>
      </c>
      <c r="B46" t="s">
        <v>8</v>
      </c>
      <c r="C46" t="s">
        <v>12</v>
      </c>
      <c r="D46" t="s">
        <v>15</v>
      </c>
      <c r="E46" t="s">
        <v>25</v>
      </c>
      <c r="F46" t="s">
        <v>32</v>
      </c>
      <c r="G46" s="12">
        <v>196.4303413957182</v>
      </c>
      <c r="H46" s="13">
        <v>-0.5634864212601043</v>
      </c>
    </row>
    <row r="47" spans="1:8">
      <c r="A47" t="s">
        <v>4</v>
      </c>
      <c r="B47" t="s">
        <v>8</v>
      </c>
      <c r="C47" t="s">
        <v>12</v>
      </c>
      <c r="D47" t="s">
        <v>19</v>
      </c>
      <c r="E47" t="s">
        <v>26</v>
      </c>
      <c r="F47" t="s">
        <v>33</v>
      </c>
      <c r="G47" s="12">
        <v>700.7556526595293</v>
      </c>
      <c r="H47" s="13">
        <v>0.5572408803607074</v>
      </c>
    </row>
    <row r="48" spans="1:8">
      <c r="A48" t="s">
        <v>4</v>
      </c>
      <c r="B48" t="s">
        <v>9</v>
      </c>
      <c r="C48" t="s">
        <v>13</v>
      </c>
      <c r="D48" t="s">
        <v>21</v>
      </c>
      <c r="E48" t="s">
        <v>26</v>
      </c>
      <c r="F48" t="s">
        <v>32</v>
      </c>
      <c r="G48" s="12">
        <v>1268.184847598203</v>
      </c>
      <c r="H48" s="13">
        <v>1.818199583604999</v>
      </c>
    </row>
    <row r="49" spans="1:8">
      <c r="A49" t="s">
        <v>6</v>
      </c>
      <c r="B49" t="s">
        <v>8</v>
      </c>
      <c r="C49" t="s">
        <v>12</v>
      </c>
      <c r="D49" t="s">
        <v>21</v>
      </c>
      <c r="E49" t="s">
        <v>25</v>
      </c>
      <c r="F49" t="s">
        <v>34</v>
      </c>
      <c r="G49" s="12">
        <v>110.7778697115323</v>
      </c>
      <c r="H49" s="13">
        <v>-0.7538259924135277</v>
      </c>
    </row>
    <row r="50" spans="1:8">
      <c r="A50" t="s">
        <v>5</v>
      </c>
      <c r="B50" t="s">
        <v>9</v>
      </c>
      <c r="C50" t="s">
        <v>11</v>
      </c>
      <c r="D50" t="s">
        <v>16</v>
      </c>
      <c r="E50" t="s">
        <v>26</v>
      </c>
      <c r="F50" t="s">
        <v>33</v>
      </c>
      <c r="G50" s="12">
        <v>455.5160918858626</v>
      </c>
      <c r="H50" s="13">
        <v>0.01226194502273259</v>
      </c>
    </row>
    <row r="51" spans="1:8">
      <c r="A51" t="s">
        <v>4</v>
      </c>
      <c r="B51" t="s">
        <v>8</v>
      </c>
      <c r="C51" t="s">
        <v>12</v>
      </c>
      <c r="D51" t="s">
        <v>18</v>
      </c>
      <c r="E51" t="s">
        <v>26</v>
      </c>
      <c r="F51" t="s">
        <v>32</v>
      </c>
      <c r="G51" s="12">
        <v>1342.099696737194</v>
      </c>
      <c r="H51" s="13">
        <v>1.982455446983465</v>
      </c>
    </row>
    <row r="52" spans="1:8">
      <c r="A52" t="s">
        <v>5</v>
      </c>
      <c r="B52" t="s">
        <v>8</v>
      </c>
      <c r="C52" t="s">
        <v>12</v>
      </c>
      <c r="D52" t="s">
        <v>15</v>
      </c>
      <c r="E52" t="s">
        <v>26</v>
      </c>
      <c r="F52" t="s">
        <v>32</v>
      </c>
      <c r="G52" s="12">
        <v>683.3397283913664</v>
      </c>
      <c r="H52" s="13">
        <v>0.5185386749104626</v>
      </c>
    </row>
    <row r="53" spans="1:8">
      <c r="A53" t="s">
        <v>6</v>
      </c>
      <c r="B53" t="s">
        <v>8</v>
      </c>
      <c r="C53" t="s">
        <v>12</v>
      </c>
      <c r="D53" t="s">
        <v>21</v>
      </c>
      <c r="E53" t="s">
        <v>24</v>
      </c>
      <c r="F53" t="s">
        <v>33</v>
      </c>
      <c r="G53" s="12">
        <v>84.28233618698067</v>
      </c>
      <c r="H53" s="13">
        <v>-0.8127051863162933</v>
      </c>
    </row>
    <row r="54" spans="1:8">
      <c r="A54" t="s">
        <v>4</v>
      </c>
      <c r="B54" t="s">
        <v>8</v>
      </c>
      <c r="C54" t="s">
        <v>11</v>
      </c>
      <c r="D54" t="s">
        <v>16</v>
      </c>
      <c r="E54" t="s">
        <v>26</v>
      </c>
      <c r="F54" t="s">
        <v>32</v>
      </c>
      <c r="G54" s="12">
        <v>1623.008860937414</v>
      </c>
      <c r="H54" s="13">
        <v>2.606700478044354</v>
      </c>
    </row>
    <row r="55" spans="1:8">
      <c r="A55" t="s">
        <v>4</v>
      </c>
      <c r="B55" t="s">
        <v>8</v>
      </c>
      <c r="C55" t="s">
        <v>12</v>
      </c>
      <c r="D55" t="s">
        <v>15</v>
      </c>
      <c r="E55" t="s">
        <v>26</v>
      </c>
      <c r="F55" t="s">
        <v>32</v>
      </c>
      <c r="G55" s="12">
        <v>1712.484023444403</v>
      </c>
      <c r="H55" s="13">
        <v>2.805534950950844</v>
      </c>
    </row>
    <row r="56" spans="1:8">
      <c r="A56" t="s">
        <v>6</v>
      </c>
      <c r="B56" t="s">
        <v>8</v>
      </c>
      <c r="C56" t="s">
        <v>12</v>
      </c>
      <c r="D56" t="s">
        <v>15</v>
      </c>
      <c r="E56" t="s">
        <v>26</v>
      </c>
      <c r="F56" t="s">
        <v>32</v>
      </c>
      <c r="G56" s="12">
        <v>387.1199275811413</v>
      </c>
      <c r="H56" s="13">
        <v>-0.1397301262662431</v>
      </c>
    </row>
    <row r="57" spans="1:8">
      <c r="A57" t="s">
        <v>6</v>
      </c>
      <c r="B57" t="s">
        <v>8</v>
      </c>
      <c r="C57" t="s">
        <v>12</v>
      </c>
      <c r="D57" t="s">
        <v>21</v>
      </c>
      <c r="E57" t="s">
        <v>26</v>
      </c>
      <c r="F57" t="s">
        <v>32</v>
      </c>
      <c r="G57" s="12">
        <v>287.2382772576022</v>
      </c>
      <c r="H57" s="13">
        <v>-0.3616902181918649</v>
      </c>
    </row>
    <row r="58" spans="1:8">
      <c r="A58" t="s">
        <v>4</v>
      </c>
      <c r="B58" t="s">
        <v>9</v>
      </c>
      <c r="C58" t="s">
        <v>12</v>
      </c>
      <c r="D58" t="s">
        <v>21</v>
      </c>
      <c r="E58" t="s">
        <v>26</v>
      </c>
      <c r="F58" t="s">
        <v>32</v>
      </c>
      <c r="G58" s="12">
        <v>1463.432286281899</v>
      </c>
      <c r="H58" s="13">
        <v>2.252084479360091</v>
      </c>
    </row>
    <row r="59" spans="1:8">
      <c r="A59" t="s">
        <v>4</v>
      </c>
      <c r="B59" t="s">
        <v>8</v>
      </c>
      <c r="C59" t="s">
        <v>12</v>
      </c>
      <c r="D59" t="s">
        <v>21</v>
      </c>
      <c r="E59" t="s">
        <v>26</v>
      </c>
      <c r="F59" t="s">
        <v>34</v>
      </c>
      <c r="G59" s="12">
        <v>965.7638971875249</v>
      </c>
      <c r="H59" s="13">
        <v>1.146150396031968</v>
      </c>
    </row>
    <row r="60" spans="1:8">
      <c r="A60" t="s">
        <v>4</v>
      </c>
      <c r="B60" t="s">
        <v>9</v>
      </c>
      <c r="C60" t="s">
        <v>12</v>
      </c>
      <c r="D60" t="s">
        <v>18</v>
      </c>
      <c r="E60" t="s">
        <v>26</v>
      </c>
      <c r="F60" t="s">
        <v>32</v>
      </c>
      <c r="G60" s="12">
        <v>1545.731639331279</v>
      </c>
      <c r="H60" s="13">
        <v>2.434972646596898</v>
      </c>
    </row>
    <row r="61" spans="1:8">
      <c r="A61" t="s">
        <v>4</v>
      </c>
      <c r="B61" t="s">
        <v>9</v>
      </c>
      <c r="C61" t="s">
        <v>11</v>
      </c>
      <c r="D61" t="s">
        <v>21</v>
      </c>
      <c r="E61" t="s">
        <v>26</v>
      </c>
      <c r="F61" t="s">
        <v>33</v>
      </c>
      <c r="G61" s="12">
        <v>1038.203141152837</v>
      </c>
      <c r="H61" s="13">
        <v>1.307127123964286</v>
      </c>
    </row>
    <row r="62" spans="1:8">
      <c r="A62" t="s">
        <v>4</v>
      </c>
      <c r="B62" t="s">
        <v>8</v>
      </c>
      <c r="C62" t="s">
        <v>12</v>
      </c>
      <c r="D62" t="s">
        <v>18</v>
      </c>
      <c r="E62" t="s">
        <v>26</v>
      </c>
      <c r="F62" t="s">
        <v>32</v>
      </c>
      <c r="G62" s="12">
        <v>1342.099696737194</v>
      </c>
      <c r="H62" s="13">
        <v>1.982455446983465</v>
      </c>
    </row>
    <row r="63" spans="1:8">
      <c r="A63" t="s">
        <v>4</v>
      </c>
      <c r="B63" t="s">
        <v>9</v>
      </c>
      <c r="C63" t="s">
        <v>12</v>
      </c>
      <c r="D63" t="s">
        <v>21</v>
      </c>
      <c r="E63" t="s">
        <v>25</v>
      </c>
      <c r="F63" t="s">
        <v>32</v>
      </c>
      <c r="G63" s="12">
        <v>742.5670525411456</v>
      </c>
      <c r="H63" s="13">
        <v>0.6501554660849218</v>
      </c>
    </row>
    <row r="64" spans="1:8">
      <c r="A64" t="s">
        <v>6</v>
      </c>
      <c r="B64" t="s">
        <v>8</v>
      </c>
      <c r="C64" t="s">
        <v>12</v>
      </c>
      <c r="D64" t="s">
        <v>16</v>
      </c>
      <c r="E64" t="s">
        <v>26</v>
      </c>
      <c r="F64" t="s">
        <v>32</v>
      </c>
      <c r="G64" s="12">
        <v>315.8301279922666</v>
      </c>
      <c r="H64" s="13">
        <v>-0.2981525233617051</v>
      </c>
    </row>
    <row r="65" spans="1:8">
      <c r="A65" t="s">
        <v>4</v>
      </c>
      <c r="B65" t="s">
        <v>8</v>
      </c>
      <c r="C65" t="s">
        <v>11</v>
      </c>
      <c r="D65" t="s">
        <v>16</v>
      </c>
      <c r="E65" t="s">
        <v>26</v>
      </c>
      <c r="F65" t="s">
        <v>33</v>
      </c>
      <c r="G65" s="12">
        <v>991.1611324722828</v>
      </c>
      <c r="H65" s="13">
        <v>1.202588917624287</v>
      </c>
    </row>
    <row r="66" spans="1:8">
      <c r="A66" t="s">
        <v>4</v>
      </c>
      <c r="B66" t="s">
        <v>8</v>
      </c>
      <c r="C66" t="s">
        <v>12</v>
      </c>
      <c r="D66" t="s">
        <v>16</v>
      </c>
      <c r="E66" t="s">
        <v>26</v>
      </c>
      <c r="F66" t="s">
        <v>32</v>
      </c>
      <c r="G66" s="12">
        <v>1397.122725478381</v>
      </c>
      <c r="H66" s="13">
        <v>2.104729322894203</v>
      </c>
    </row>
    <row r="67" spans="1:8">
      <c r="A67" t="s">
        <v>5</v>
      </c>
      <c r="B67" t="s">
        <v>8</v>
      </c>
      <c r="C67" t="s">
        <v>12</v>
      </c>
      <c r="D67" t="s">
        <v>15</v>
      </c>
      <c r="E67" t="s">
        <v>26</v>
      </c>
      <c r="F67" t="s">
        <v>34</v>
      </c>
      <c r="G67" s="12">
        <v>519.3789249140182</v>
      </c>
      <c r="H67" s="13">
        <v>0.1541799073676082</v>
      </c>
    </row>
    <row r="68" spans="1:8">
      <c r="A68" t="s">
        <v>5</v>
      </c>
      <c r="B68" t="s">
        <v>8</v>
      </c>
      <c r="C68" t="s">
        <v>12</v>
      </c>
      <c r="D68" t="s">
        <v>15</v>
      </c>
      <c r="E68" t="s">
        <v>25</v>
      </c>
      <c r="F68" t="s">
        <v>32</v>
      </c>
      <c r="G68" s="12">
        <v>346.7366223585553</v>
      </c>
      <c r="H68" s="13">
        <v>-0.2294711558790989</v>
      </c>
    </row>
    <row r="69" spans="1:8">
      <c r="A69" t="s">
        <v>4</v>
      </c>
      <c r="B69" t="s">
        <v>9</v>
      </c>
      <c r="C69" t="s">
        <v>11</v>
      </c>
      <c r="D69" t="s">
        <v>20</v>
      </c>
      <c r="E69" t="s">
        <v>26</v>
      </c>
      <c r="F69" t="s">
        <v>32</v>
      </c>
      <c r="G69" s="12">
        <v>1946.603381604787</v>
      </c>
      <c r="H69" s="13">
        <v>3.32580222817864</v>
      </c>
    </row>
    <row r="70" spans="1:8">
      <c r="A70" t="s">
        <v>4</v>
      </c>
      <c r="B70" t="s">
        <v>9</v>
      </c>
      <c r="C70" t="s">
        <v>12</v>
      </c>
      <c r="D70" t="s">
        <v>21</v>
      </c>
      <c r="E70" t="s">
        <v>26</v>
      </c>
      <c r="F70" t="s">
        <v>32</v>
      </c>
      <c r="G70" s="12">
        <v>1463.432286281899</v>
      </c>
      <c r="H70" s="13">
        <v>2.252084479360091</v>
      </c>
    </row>
    <row r="71" spans="1:8">
      <c r="A71" t="s">
        <v>4</v>
      </c>
      <c r="B71" t="s">
        <v>9</v>
      </c>
      <c r="C71" t="s">
        <v>11</v>
      </c>
      <c r="D71" t="s">
        <v>15</v>
      </c>
      <c r="E71" t="s">
        <v>26</v>
      </c>
      <c r="F71" t="s">
        <v>32</v>
      </c>
      <c r="G71" s="12">
        <v>2291.195674483718</v>
      </c>
      <c r="H71" s="13">
        <v>4.091565877022183</v>
      </c>
    </row>
    <row r="72" spans="1:8">
      <c r="A72" t="s">
        <v>4</v>
      </c>
      <c r="B72" t="s">
        <v>9</v>
      </c>
      <c r="C72" t="s">
        <v>11</v>
      </c>
      <c r="D72" t="s">
        <v>21</v>
      </c>
      <c r="E72" t="s">
        <v>26</v>
      </c>
      <c r="F72" t="s">
        <v>34</v>
      </c>
      <c r="G72" s="12">
        <v>1292.131216125435</v>
      </c>
      <c r="H72" s="13">
        <v>1.871413944224515</v>
      </c>
    </row>
    <row r="73" spans="1:8">
      <c r="A73" t="s">
        <v>4</v>
      </c>
      <c r="B73" t="s">
        <v>8</v>
      </c>
      <c r="C73" t="s">
        <v>11</v>
      </c>
      <c r="D73" t="s">
        <v>15</v>
      </c>
      <c r="E73" t="s">
        <v>26</v>
      </c>
      <c r="F73" t="s">
        <v>29</v>
      </c>
      <c r="G73" s="12">
        <v>1007.375513626106</v>
      </c>
      <c r="H73" s="13">
        <v>1.238621016811294</v>
      </c>
    </row>
    <row r="74" spans="1:8">
      <c r="A74" t="s">
        <v>6</v>
      </c>
      <c r="B74" t="s">
        <v>8</v>
      </c>
      <c r="C74" t="s">
        <v>11</v>
      </c>
      <c r="D74" t="s">
        <v>15</v>
      </c>
      <c r="E74" t="s">
        <v>26</v>
      </c>
      <c r="F74" t="s">
        <v>32</v>
      </c>
      <c r="G74" s="12">
        <v>449.7092927140741</v>
      </c>
      <c r="H74" s="13">
        <v>-0.0006421036567680893</v>
      </c>
    </row>
    <row r="75" spans="1:8">
      <c r="A75" t="s">
        <v>4</v>
      </c>
      <c r="B75" t="s">
        <v>9</v>
      </c>
      <c r="C75" t="s">
        <v>12</v>
      </c>
      <c r="D75" t="s">
        <v>21</v>
      </c>
      <c r="E75" t="s">
        <v>26</v>
      </c>
      <c r="F75" t="s">
        <v>32</v>
      </c>
      <c r="G75" s="12">
        <v>1463.432286281899</v>
      </c>
      <c r="H75" s="13">
        <v>2.252084479360091</v>
      </c>
    </row>
    <row r="76" spans="1:8">
      <c r="A76" t="s">
        <v>4</v>
      </c>
      <c r="B76" t="s">
        <v>8</v>
      </c>
      <c r="C76" t="s">
        <v>11</v>
      </c>
      <c r="D76" t="s">
        <v>18</v>
      </c>
      <c r="E76" t="s">
        <v>26</v>
      </c>
      <c r="F76" t="s">
        <v>34</v>
      </c>
      <c r="G76" s="12">
        <v>1185.001130262447</v>
      </c>
      <c r="H76" s="13">
        <v>1.633346154704376</v>
      </c>
    </row>
    <row r="77" spans="1:8">
      <c r="A77" t="s">
        <v>4</v>
      </c>
      <c r="B77" t="s">
        <v>9</v>
      </c>
      <c r="C77" t="s">
        <v>12</v>
      </c>
      <c r="D77" t="s">
        <v>15</v>
      </c>
      <c r="E77" t="s">
        <v>26</v>
      </c>
      <c r="F77" t="s">
        <v>34</v>
      </c>
      <c r="G77" s="12">
        <v>1499.075474919496</v>
      </c>
      <c r="H77" s="13">
        <v>2.331291875322179</v>
      </c>
    </row>
    <row r="78" spans="1:8">
      <c r="A78" t="s">
        <v>4</v>
      </c>
      <c r="B78" t="s">
        <v>9</v>
      </c>
      <c r="C78" t="s">
        <v>12</v>
      </c>
      <c r="D78" t="s">
        <v>17</v>
      </c>
      <c r="E78" t="s">
        <v>26</v>
      </c>
      <c r="F78" t="s">
        <v>32</v>
      </c>
      <c r="G78" s="12">
        <v>1562.149639777235</v>
      </c>
      <c r="H78" s="13">
        <v>2.471457234871272</v>
      </c>
    </row>
    <row r="79" spans="1:8">
      <c r="A79" t="s">
        <v>6</v>
      </c>
      <c r="B79" t="s">
        <v>8</v>
      </c>
      <c r="C79" t="s">
        <v>12</v>
      </c>
      <c r="D79" t="s">
        <v>21</v>
      </c>
      <c r="E79" t="s">
        <v>26</v>
      </c>
      <c r="F79" t="s">
        <v>32</v>
      </c>
      <c r="G79" s="12">
        <v>287.2382772576022</v>
      </c>
      <c r="H79" s="13">
        <v>-0.3616902181918649</v>
      </c>
    </row>
    <row r="80" spans="1:8">
      <c r="A80" t="s">
        <v>4</v>
      </c>
      <c r="B80" t="s">
        <v>9</v>
      </c>
      <c r="C80" t="s">
        <v>12</v>
      </c>
      <c r="D80" t="s">
        <v>16</v>
      </c>
      <c r="E80" t="s">
        <v>26</v>
      </c>
      <c r="F80" t="s">
        <v>32</v>
      </c>
      <c r="G80" s="12">
        <v>1609.103113614342</v>
      </c>
      <c r="H80" s="13">
        <v>2.575798696344456</v>
      </c>
    </row>
    <row r="81" spans="1:8">
      <c r="A81" t="s">
        <v>6</v>
      </c>
      <c r="B81" t="s">
        <v>8</v>
      </c>
      <c r="C81" t="s">
        <v>12</v>
      </c>
      <c r="D81" t="s">
        <v>18</v>
      </c>
      <c r="E81" t="s">
        <v>26</v>
      </c>
      <c r="F81" t="s">
        <v>33</v>
      </c>
      <c r="G81" s="12">
        <v>185.2794061041312</v>
      </c>
      <c r="H81" s="13">
        <v>-0.5882663744783383</v>
      </c>
    </row>
    <row r="82" spans="1:8">
      <c r="A82" t="s">
        <v>5</v>
      </c>
      <c r="B82" t="s">
        <v>9</v>
      </c>
      <c r="C82" t="s">
        <v>12</v>
      </c>
      <c r="D82" t="s">
        <v>21</v>
      </c>
      <c r="E82" t="s">
        <v>26</v>
      </c>
      <c r="F82" t="s">
        <v>32</v>
      </c>
      <c r="G82" s="12">
        <v>583.959562446391</v>
      </c>
      <c r="H82" s="13">
        <v>0.2976929970779669</v>
      </c>
    </row>
    <row r="83" spans="1:8">
      <c r="A83" t="s">
        <v>4</v>
      </c>
      <c r="B83" t="s">
        <v>8</v>
      </c>
      <c r="C83" t="s">
        <v>12</v>
      </c>
      <c r="D83" t="s">
        <v>15</v>
      </c>
      <c r="E83" t="s">
        <v>26</v>
      </c>
      <c r="F83" t="s">
        <v>32</v>
      </c>
      <c r="G83" s="12">
        <v>1712.484023444403</v>
      </c>
      <c r="H83" s="13">
        <v>2.805534950950844</v>
      </c>
    </row>
    <row r="84" spans="1:8">
      <c r="A84" t="s">
        <v>5</v>
      </c>
      <c r="B84" t="s">
        <v>9</v>
      </c>
      <c r="C84" t="s">
        <v>12</v>
      </c>
      <c r="D84" t="s">
        <v>17</v>
      </c>
      <c r="E84" t="s">
        <v>26</v>
      </c>
      <c r="F84" t="s">
        <v>34</v>
      </c>
      <c r="G84" s="12">
        <v>473.7840408171621</v>
      </c>
      <c r="H84" s="13">
        <v>0.05285754602601522</v>
      </c>
    </row>
    <row r="85" spans="1:8">
      <c r="A85" t="s">
        <v>5</v>
      </c>
      <c r="B85" t="s">
        <v>9</v>
      </c>
      <c r="C85" t="s">
        <v>12</v>
      </c>
      <c r="D85" t="s">
        <v>15</v>
      </c>
      <c r="E85" t="s">
        <v>26</v>
      </c>
      <c r="F85" t="s">
        <v>33</v>
      </c>
      <c r="G85" s="12">
        <v>480.6283246819889</v>
      </c>
      <c r="H85" s="13">
        <v>0.06806712527186409</v>
      </c>
    </row>
    <row r="86" spans="1:8">
      <c r="A86" t="s">
        <v>4</v>
      </c>
      <c r="B86" t="s">
        <v>8</v>
      </c>
      <c r="C86" t="s">
        <v>12</v>
      </c>
      <c r="D86" t="s">
        <v>15</v>
      </c>
      <c r="E86" t="s">
        <v>26</v>
      </c>
      <c r="F86" t="s">
        <v>32</v>
      </c>
      <c r="G86" s="12">
        <v>1712.484023444403</v>
      </c>
      <c r="H86" s="13">
        <v>2.805534950950844</v>
      </c>
    </row>
    <row r="87" spans="1:8">
      <c r="A87" t="s">
        <v>6</v>
      </c>
      <c r="B87" t="s">
        <v>9</v>
      </c>
      <c r="C87" t="s">
        <v>12</v>
      </c>
      <c r="D87" t="s">
        <v>17</v>
      </c>
      <c r="E87" t="s">
        <v>26</v>
      </c>
      <c r="F87" t="s">
        <v>32</v>
      </c>
      <c r="G87" s="12">
        <v>353.1357064605644</v>
      </c>
      <c r="H87" s="13">
        <v>-0.2152509133128125</v>
      </c>
    </row>
    <row r="88" spans="1:8">
      <c r="A88" t="s">
        <v>6</v>
      </c>
      <c r="B88" t="s">
        <v>9</v>
      </c>
      <c r="C88" t="s">
        <v>12</v>
      </c>
      <c r="D88" t="s">
        <v>20</v>
      </c>
      <c r="E88" t="s">
        <v>26</v>
      </c>
      <c r="F88" t="s">
        <v>32</v>
      </c>
      <c r="G88" s="12">
        <v>378.8001470351347</v>
      </c>
      <c r="H88" s="13">
        <v>-0.1582185998628535</v>
      </c>
    </row>
    <row r="89" spans="1:8">
      <c r="A89" t="s">
        <v>5</v>
      </c>
      <c r="B89" t="s">
        <v>9</v>
      </c>
      <c r="C89" t="s">
        <v>12</v>
      </c>
      <c r="D89" t="s">
        <v>18</v>
      </c>
      <c r="E89" t="s">
        <v>26</v>
      </c>
      <c r="F89" t="s">
        <v>32</v>
      </c>
      <c r="G89" s="12">
        <v>616.799820685083</v>
      </c>
      <c r="H89" s="13">
        <v>0.3706716344343761</v>
      </c>
    </row>
    <row r="90" spans="1:8">
      <c r="A90" t="s">
        <v>6</v>
      </c>
      <c r="B90" t="s">
        <v>9</v>
      </c>
      <c r="C90" t="s">
        <v>12</v>
      </c>
      <c r="D90" t="s">
        <v>21</v>
      </c>
      <c r="E90" t="s">
        <v>26</v>
      </c>
      <c r="F90" t="s">
        <v>32</v>
      </c>
      <c r="G90" s="12">
        <v>330.819904261574</v>
      </c>
      <c r="H90" s="13">
        <v>-0.2648417790167462</v>
      </c>
    </row>
    <row r="91" spans="1:8">
      <c r="A91" t="s">
        <v>4</v>
      </c>
      <c r="B91" t="s">
        <v>9</v>
      </c>
      <c r="C91" t="s">
        <v>12</v>
      </c>
      <c r="D91" t="s">
        <v>15</v>
      </c>
      <c r="E91" t="s">
        <v>26</v>
      </c>
      <c r="F91" t="s">
        <v>32</v>
      </c>
      <c r="G91" s="12">
        <v>1972.313043004642</v>
      </c>
      <c r="H91" s="13">
        <v>3.382935032744881</v>
      </c>
    </row>
    <row r="92" spans="1:8">
      <c r="A92" t="s">
        <v>6</v>
      </c>
      <c r="B92" t="s">
        <v>8</v>
      </c>
      <c r="C92" t="s">
        <v>11</v>
      </c>
      <c r="D92" t="s">
        <v>17</v>
      </c>
      <c r="E92" t="s">
        <v>26</v>
      </c>
      <c r="F92" t="s">
        <v>32</v>
      </c>
      <c r="G92" s="12">
        <v>356.1874785087615</v>
      </c>
      <c r="H92" s="13">
        <v>-0.2084691710993056</v>
      </c>
    </row>
    <row r="93" spans="1:8">
      <c r="A93" t="s">
        <v>4</v>
      </c>
      <c r="B93" t="s">
        <v>8</v>
      </c>
      <c r="C93" t="s">
        <v>12</v>
      </c>
      <c r="D93" t="s">
        <v>15</v>
      </c>
      <c r="E93" t="s">
        <v>26</v>
      </c>
      <c r="F93" t="s">
        <v>30</v>
      </c>
      <c r="G93" s="12">
        <v>848.1024432316179</v>
      </c>
      <c r="H93" s="13">
        <v>0.884679474680955</v>
      </c>
    </row>
    <row r="94" spans="1:8">
      <c r="A94" t="s">
        <v>5</v>
      </c>
      <c r="B94" t="s">
        <v>8</v>
      </c>
      <c r="C94" t="s">
        <v>12</v>
      </c>
      <c r="D94" t="s">
        <v>21</v>
      </c>
      <c r="E94" t="s">
        <v>26</v>
      </c>
      <c r="F94" t="s">
        <v>32</v>
      </c>
      <c r="G94" s="12">
        <v>507.0297661793009</v>
      </c>
      <c r="H94" s="13">
        <v>0.1267372249621497</v>
      </c>
    </row>
    <row r="95" spans="1:8">
      <c r="A95" t="s">
        <v>4</v>
      </c>
      <c r="B95" t="s">
        <v>8</v>
      </c>
      <c r="C95" t="s">
        <v>12</v>
      </c>
      <c r="D95" t="s">
        <v>21</v>
      </c>
      <c r="E95" t="s">
        <v>26</v>
      </c>
      <c r="F95" t="s">
        <v>33</v>
      </c>
      <c r="G95" s="12">
        <v>775.9731358233513</v>
      </c>
      <c r="H95" s="13">
        <v>0.7243914973496748</v>
      </c>
    </row>
    <row r="96" spans="1:8">
      <c r="A96" t="s">
        <v>4</v>
      </c>
      <c r="B96" t="s">
        <v>9</v>
      </c>
      <c r="C96" t="s">
        <v>12</v>
      </c>
      <c r="D96" t="s">
        <v>21</v>
      </c>
      <c r="E96" t="s">
        <v>26</v>
      </c>
      <c r="F96" t="s">
        <v>34</v>
      </c>
      <c r="G96" s="12">
        <v>1112.295767323279</v>
      </c>
      <c r="H96" s="13">
        <v>1.471778048959328</v>
      </c>
    </row>
    <row r="97" spans="1:8">
      <c r="A97" t="s">
        <v>6</v>
      </c>
      <c r="B97" t="s">
        <v>9</v>
      </c>
      <c r="C97" t="s">
        <v>11</v>
      </c>
      <c r="D97" t="s">
        <v>20</v>
      </c>
      <c r="E97" t="s">
        <v>26</v>
      </c>
      <c r="F97" t="s">
        <v>32</v>
      </c>
      <c r="G97" s="12">
        <v>440.0443740201205</v>
      </c>
      <c r="H97" s="13">
        <v>-0.02211978484059651</v>
      </c>
    </row>
    <row r="98" spans="1:8">
      <c r="A98" t="s">
        <v>5</v>
      </c>
      <c r="B98" t="s">
        <v>9</v>
      </c>
      <c r="C98" t="s">
        <v>12</v>
      </c>
      <c r="D98" t="s">
        <v>21</v>
      </c>
      <c r="E98" t="s">
        <v>26</v>
      </c>
      <c r="F98" t="s">
        <v>34</v>
      </c>
      <c r="G98" s="12">
        <v>443.8440751142181</v>
      </c>
      <c r="H98" s="13">
        <v>-0.01367597157355593</v>
      </c>
    </row>
    <row r="99" spans="1:8">
      <c r="A99" t="s">
        <v>6</v>
      </c>
      <c r="B99" t="s">
        <v>8</v>
      </c>
      <c r="C99" t="s">
        <v>12</v>
      </c>
      <c r="D99" t="s">
        <v>21</v>
      </c>
      <c r="E99" t="s">
        <v>26</v>
      </c>
      <c r="F99" t="s">
        <v>31</v>
      </c>
      <c r="G99" s="12">
        <v>179.0803955723268</v>
      </c>
      <c r="H99" s="13">
        <v>-0.6020420073701682</v>
      </c>
    </row>
    <row r="100" spans="1:8">
      <c r="A100" t="s">
        <v>6</v>
      </c>
      <c r="B100" t="s">
        <v>8</v>
      </c>
      <c r="C100" t="s">
        <v>11</v>
      </c>
      <c r="D100" t="s">
        <v>21</v>
      </c>
      <c r="E100" t="s">
        <v>26</v>
      </c>
      <c r="F100" t="s">
        <v>34</v>
      </c>
      <c r="G100" s="12">
        <v>253.6157962276544</v>
      </c>
      <c r="H100" s="13">
        <v>-0.4364071352231801</v>
      </c>
    </row>
    <row r="101" spans="1:8">
      <c r="A101" t="s">
        <v>6</v>
      </c>
      <c r="B101" t="s">
        <v>9</v>
      </c>
      <c r="C101" t="s">
        <v>12</v>
      </c>
      <c r="D101" t="s">
        <v>21</v>
      </c>
      <c r="E101" t="s">
        <v>26</v>
      </c>
      <c r="F101" t="s">
        <v>32</v>
      </c>
      <c r="G101" s="12">
        <v>330.819904261574</v>
      </c>
      <c r="H101" s="13">
        <v>-0.2648417790167462</v>
      </c>
    </row>
    <row r="102" spans="1:8">
      <c r="A102" t="s">
        <v>6</v>
      </c>
      <c r="B102" t="s">
        <v>8</v>
      </c>
      <c r="C102" t="s">
        <v>12</v>
      </c>
      <c r="D102" t="s">
        <v>20</v>
      </c>
      <c r="E102" t="s">
        <v>26</v>
      </c>
      <c r="F102" t="s">
        <v>30</v>
      </c>
      <c r="G102" s="12">
        <v>162.8855679560791</v>
      </c>
      <c r="H102" s="13">
        <v>-0.638030654081333</v>
      </c>
    </row>
    <row r="103" spans="1:8">
      <c r="A103" t="s">
        <v>4</v>
      </c>
      <c r="B103" t="s">
        <v>9</v>
      </c>
      <c r="C103" t="s">
        <v>12</v>
      </c>
      <c r="D103" t="s">
        <v>15</v>
      </c>
      <c r="E103" t="s">
        <v>26</v>
      </c>
      <c r="F103" t="s">
        <v>34</v>
      </c>
      <c r="G103" s="12">
        <v>1499.075474919496</v>
      </c>
      <c r="H103" s="13">
        <v>2.331291875322179</v>
      </c>
    </row>
    <row r="104" spans="1:8">
      <c r="A104" t="s">
        <v>6</v>
      </c>
      <c r="B104" t="s">
        <v>9</v>
      </c>
      <c r="C104" t="s">
        <v>12</v>
      </c>
      <c r="D104" t="s">
        <v>21</v>
      </c>
      <c r="E104" t="s">
        <v>26</v>
      </c>
      <c r="F104" t="s">
        <v>32</v>
      </c>
      <c r="G104" s="12">
        <v>330.819904261574</v>
      </c>
      <c r="H104" s="13">
        <v>-0.2648417790167462</v>
      </c>
    </row>
    <row r="105" spans="1:8">
      <c r="A105" t="s">
        <v>4</v>
      </c>
      <c r="B105" t="s">
        <v>9</v>
      </c>
      <c r="C105" t="s">
        <v>11</v>
      </c>
      <c r="D105" t="s">
        <v>15</v>
      </c>
      <c r="E105" t="s">
        <v>26</v>
      </c>
      <c r="F105" t="s">
        <v>30</v>
      </c>
      <c r="G105" s="12">
        <v>1134.707607690824</v>
      </c>
      <c r="H105" s="13">
        <v>1.52158233365115</v>
      </c>
    </row>
    <row r="106" spans="1:8">
      <c r="A106" t="s">
        <v>6</v>
      </c>
      <c r="B106" t="s">
        <v>8</v>
      </c>
      <c r="C106" t="s">
        <v>12</v>
      </c>
      <c r="D106" t="s">
        <v>15</v>
      </c>
      <c r="E106" t="s">
        <v>26</v>
      </c>
      <c r="F106" t="s">
        <v>32</v>
      </c>
      <c r="G106" s="12">
        <v>387.1199275811413</v>
      </c>
      <c r="H106" s="13">
        <v>-0.1397301262662431</v>
      </c>
    </row>
    <row r="107" spans="1:8">
      <c r="A107" t="s">
        <v>6</v>
      </c>
      <c r="B107" t="s">
        <v>9</v>
      </c>
      <c r="C107" t="s">
        <v>12</v>
      </c>
      <c r="D107" t="s">
        <v>21</v>
      </c>
      <c r="E107" t="s">
        <v>23</v>
      </c>
      <c r="F107" t="s">
        <v>32</v>
      </c>
      <c r="G107" s="12">
        <v>147.7784322479005</v>
      </c>
      <c r="H107" s="13">
        <v>-0.6716021982003824</v>
      </c>
    </row>
    <row r="108" spans="1:8">
      <c r="A108" t="s">
        <v>4</v>
      </c>
      <c r="B108" t="s">
        <v>9</v>
      </c>
      <c r="C108" t="s">
        <v>12</v>
      </c>
      <c r="D108" t="s">
        <v>21</v>
      </c>
      <c r="E108" t="s">
        <v>23</v>
      </c>
      <c r="F108" t="s">
        <v>32</v>
      </c>
      <c r="G108" s="12">
        <v>653.7204266787511</v>
      </c>
      <c r="H108" s="13">
        <v>0.452717746745888</v>
      </c>
    </row>
    <row r="109" spans="1:8">
      <c r="A109" t="s">
        <v>4</v>
      </c>
      <c r="B109" t="s">
        <v>9</v>
      </c>
      <c r="C109" t="s">
        <v>12</v>
      </c>
      <c r="D109" t="s">
        <v>15</v>
      </c>
      <c r="E109" t="s">
        <v>26</v>
      </c>
      <c r="F109" t="s">
        <v>32</v>
      </c>
      <c r="G109" s="12">
        <v>1972.313043004642</v>
      </c>
      <c r="H109" s="13">
        <v>3.382935032744881</v>
      </c>
    </row>
    <row r="110" spans="1:8">
      <c r="A110" t="s">
        <v>6</v>
      </c>
      <c r="B110" t="s">
        <v>9</v>
      </c>
      <c r="C110" t="s">
        <v>12</v>
      </c>
      <c r="D110" t="s">
        <v>21</v>
      </c>
      <c r="E110" t="s">
        <v>26</v>
      </c>
      <c r="F110" t="s">
        <v>32</v>
      </c>
      <c r="G110" s="12">
        <v>330.819904261574</v>
      </c>
      <c r="H110" s="13">
        <v>-0.2648417790167462</v>
      </c>
    </row>
    <row r="111" spans="1:8">
      <c r="A111" t="s">
        <v>4</v>
      </c>
      <c r="B111" t="s">
        <v>8</v>
      </c>
      <c r="C111" t="s">
        <v>12</v>
      </c>
      <c r="D111" t="s">
        <v>19</v>
      </c>
      <c r="E111" t="s">
        <v>26</v>
      </c>
      <c r="F111" t="s">
        <v>34</v>
      </c>
      <c r="G111" s="12">
        <v>872.1494067839981</v>
      </c>
      <c r="H111" s="13">
        <v>0.9381173806759915</v>
      </c>
    </row>
    <row r="112" spans="1:8">
      <c r="A112" t="s">
        <v>5</v>
      </c>
      <c r="B112" t="s">
        <v>9</v>
      </c>
      <c r="C112" t="s">
        <v>11</v>
      </c>
      <c r="D112" t="s">
        <v>21</v>
      </c>
      <c r="E112" t="s">
        <v>26</v>
      </c>
      <c r="F112" t="s">
        <v>32</v>
      </c>
      <c r="G112" s="12">
        <v>678.3738657998756</v>
      </c>
      <c r="H112" s="13">
        <v>0.5075033815034458</v>
      </c>
    </row>
    <row r="113" spans="1:8">
      <c r="A113" t="s">
        <v>6</v>
      </c>
      <c r="B113" t="s">
        <v>8</v>
      </c>
      <c r="C113" t="s">
        <v>12</v>
      </c>
      <c r="D113" t="s">
        <v>19</v>
      </c>
      <c r="E113" t="s">
        <v>26</v>
      </c>
      <c r="F113" t="s">
        <v>32</v>
      </c>
      <c r="G113" s="12">
        <v>259.3953800151553</v>
      </c>
      <c r="H113" s="13">
        <v>-0.4235635654122074</v>
      </c>
    </row>
    <row r="114" spans="1:8">
      <c r="A114" t="s">
        <v>6</v>
      </c>
      <c r="B114" t="s">
        <v>8</v>
      </c>
      <c r="C114" t="s">
        <v>12</v>
      </c>
      <c r="D114" t="s">
        <v>19</v>
      </c>
      <c r="E114" t="s">
        <v>26</v>
      </c>
      <c r="F114" t="s">
        <v>32</v>
      </c>
      <c r="G114" s="12">
        <v>259.3953800151553</v>
      </c>
      <c r="H114" s="13">
        <v>-0.4235635654122074</v>
      </c>
    </row>
    <row r="115" spans="1:8">
      <c r="A115" t="s">
        <v>6</v>
      </c>
      <c r="B115" t="s">
        <v>8</v>
      </c>
      <c r="C115" t="s">
        <v>12</v>
      </c>
      <c r="D115" t="s">
        <v>17</v>
      </c>
      <c r="E115" t="s">
        <v>26</v>
      </c>
      <c r="F115" t="s">
        <v>32</v>
      </c>
      <c r="G115" s="12">
        <v>306.6142352839705</v>
      </c>
      <c r="H115" s="13">
        <v>-0.3186323651152609</v>
      </c>
    </row>
    <row r="116" spans="1:8">
      <c r="A116" t="s">
        <v>6</v>
      </c>
      <c r="B116" t="s">
        <v>8</v>
      </c>
      <c r="C116" t="s">
        <v>12</v>
      </c>
      <c r="D116" t="s">
        <v>21</v>
      </c>
      <c r="E116" t="s">
        <v>24</v>
      </c>
      <c r="F116" t="s">
        <v>32</v>
      </c>
      <c r="G116" s="12">
        <v>138.0108379661477</v>
      </c>
      <c r="H116" s="13">
        <v>-0.6933080482503899</v>
      </c>
    </row>
    <row r="117" spans="1:8">
      <c r="A117" t="s">
        <v>4</v>
      </c>
      <c r="B117" t="s">
        <v>8</v>
      </c>
      <c r="C117" t="s">
        <v>12</v>
      </c>
      <c r="D117" t="s">
        <v>16</v>
      </c>
      <c r="E117" t="s">
        <v>23</v>
      </c>
      <c r="F117" t="s">
        <v>32</v>
      </c>
      <c r="G117" s="12">
        <v>624.099709145254</v>
      </c>
      <c r="H117" s="13">
        <v>0.3868936723003693</v>
      </c>
    </row>
    <row r="118" spans="1:8">
      <c r="A118" t="s">
        <v>5</v>
      </c>
      <c r="B118" t="s">
        <v>9</v>
      </c>
      <c r="C118" t="s">
        <v>11</v>
      </c>
      <c r="D118" t="s">
        <v>17</v>
      </c>
      <c r="E118" t="s">
        <v>26</v>
      </c>
      <c r="F118" t="s">
        <v>34</v>
      </c>
      <c r="G118" s="12">
        <v>550.3852184164376</v>
      </c>
      <c r="H118" s="13">
        <v>0.2230830515765492</v>
      </c>
    </row>
    <row r="119" spans="1:8">
      <c r="A119" t="s">
        <v>6</v>
      </c>
      <c r="B119" t="s">
        <v>9</v>
      </c>
      <c r="C119" t="s">
        <v>11</v>
      </c>
      <c r="D119" t="s">
        <v>15</v>
      </c>
      <c r="E119" t="s">
        <v>25</v>
      </c>
      <c r="F119" t="s">
        <v>31</v>
      </c>
      <c r="G119" s="12">
        <v>163.8513241424344</v>
      </c>
      <c r="H119" s="13">
        <v>-0.6358845208205508</v>
      </c>
    </row>
    <row r="120" spans="1:8">
      <c r="A120" t="s">
        <v>6</v>
      </c>
      <c r="B120" t="s">
        <v>9</v>
      </c>
      <c r="C120" t="s">
        <v>11</v>
      </c>
      <c r="D120" t="s">
        <v>21</v>
      </c>
      <c r="E120" t="s">
        <v>23</v>
      </c>
      <c r="F120" t="s">
        <v>32</v>
      </c>
      <c r="G120" s="12">
        <v>171.6711786444227</v>
      </c>
      <c r="H120" s="13">
        <v>-0.6185069983378526</v>
      </c>
    </row>
    <row r="121" spans="1:8">
      <c r="A121" t="s">
        <v>4</v>
      </c>
      <c r="B121" t="s">
        <v>9</v>
      </c>
      <c r="C121" t="s">
        <v>11</v>
      </c>
      <c r="D121" t="s">
        <v>18</v>
      </c>
      <c r="E121" t="s">
        <v>26</v>
      </c>
      <c r="F121" t="s">
        <v>33</v>
      </c>
      <c r="G121" s="12">
        <v>1096.588792236015</v>
      </c>
      <c r="H121" s="13">
        <v>1.436873523223624</v>
      </c>
    </row>
    <row r="122" spans="1:8">
      <c r="A122" t="s">
        <v>4</v>
      </c>
      <c r="B122" t="s">
        <v>8</v>
      </c>
      <c r="C122" t="s">
        <v>13</v>
      </c>
      <c r="D122" t="s">
        <v>17</v>
      </c>
      <c r="E122" t="s">
        <v>26</v>
      </c>
      <c r="F122" t="s">
        <v>32</v>
      </c>
      <c r="G122" s="12">
        <v>1175.393385452374</v>
      </c>
      <c r="H122" s="13">
        <v>1.611995527093257</v>
      </c>
    </row>
    <row r="123" spans="1:8">
      <c r="A123" t="s">
        <v>5</v>
      </c>
      <c r="B123" t="s">
        <v>8</v>
      </c>
      <c r="C123" t="s">
        <v>12</v>
      </c>
      <c r="D123" t="s">
        <v>18</v>
      </c>
      <c r="E123" t="s">
        <v>26</v>
      </c>
      <c r="F123" t="s">
        <v>34</v>
      </c>
      <c r="G123" s="12">
        <v>407.045139152169</v>
      </c>
      <c r="H123" s="13">
        <v>-0.0954517049784791</v>
      </c>
    </row>
    <row r="124" spans="1:8">
      <c r="A124" t="s">
        <v>6</v>
      </c>
      <c r="B124" t="s">
        <v>9</v>
      </c>
      <c r="C124" t="s">
        <v>12</v>
      </c>
      <c r="D124" t="s">
        <v>21</v>
      </c>
      <c r="E124" t="s">
        <v>26</v>
      </c>
      <c r="F124" t="s">
        <v>32</v>
      </c>
      <c r="G124" s="12">
        <v>330.819904261574</v>
      </c>
      <c r="H124" s="13">
        <v>-0.2648417790167462</v>
      </c>
    </row>
    <row r="125" spans="1:8">
      <c r="A125" t="s">
        <v>4</v>
      </c>
      <c r="B125" t="s">
        <v>9</v>
      </c>
      <c r="C125" t="s">
        <v>12</v>
      </c>
      <c r="D125" t="s">
        <v>15</v>
      </c>
      <c r="E125" t="s">
        <v>26</v>
      </c>
      <c r="F125" t="s">
        <v>32</v>
      </c>
      <c r="G125" s="12">
        <v>1972.313043004642</v>
      </c>
      <c r="H125" s="13">
        <v>3.382935032744881</v>
      </c>
    </row>
    <row r="126" spans="1:8">
      <c r="A126" t="s">
        <v>6</v>
      </c>
      <c r="B126" t="s">
        <v>8</v>
      </c>
      <c r="C126" t="s">
        <v>12</v>
      </c>
      <c r="D126" t="s">
        <v>15</v>
      </c>
      <c r="E126" t="s">
        <v>25</v>
      </c>
      <c r="F126" t="s">
        <v>32</v>
      </c>
      <c r="G126" s="12">
        <v>196.4303413957182</v>
      </c>
      <c r="H126" s="13">
        <v>-0.5634864212601043</v>
      </c>
    </row>
    <row r="127" spans="1:8">
      <c r="A127" t="s">
        <v>6</v>
      </c>
      <c r="B127" t="s">
        <v>9</v>
      </c>
      <c r="C127" t="s">
        <v>12</v>
      </c>
      <c r="D127" t="s">
        <v>15</v>
      </c>
      <c r="E127" t="s">
        <v>26</v>
      </c>
      <c r="F127" t="s">
        <v>32</v>
      </c>
      <c r="G127" s="12">
        <v>445.8562368597102</v>
      </c>
      <c r="H127" s="13">
        <v>-0.009204483521927487</v>
      </c>
    </row>
    <row r="128" spans="1:8">
      <c r="A128" t="s">
        <v>4</v>
      </c>
      <c r="B128" t="s">
        <v>8</v>
      </c>
      <c r="C128" t="s">
        <v>12</v>
      </c>
      <c r="D128" t="s">
        <v>15</v>
      </c>
      <c r="E128" t="s">
        <v>26</v>
      </c>
      <c r="F128" t="s">
        <v>33</v>
      </c>
      <c r="G128" s="12">
        <v>1045.803042034839</v>
      </c>
      <c r="H128" s="13">
        <v>1.324015858711164</v>
      </c>
    </row>
    <row r="129" spans="1:8">
      <c r="A129" t="s">
        <v>6</v>
      </c>
      <c r="B129" t="s">
        <v>9</v>
      </c>
      <c r="C129" t="s">
        <v>12</v>
      </c>
      <c r="D129" t="s">
        <v>15</v>
      </c>
      <c r="E129" t="s">
        <v>26</v>
      </c>
      <c r="F129" t="s">
        <v>32</v>
      </c>
      <c r="G129" s="12">
        <v>445.8562368597102</v>
      </c>
      <c r="H129" s="13">
        <v>-0.009204483521927487</v>
      </c>
    </row>
    <row r="130" spans="1:8">
      <c r="A130" t="s">
        <v>4</v>
      </c>
      <c r="B130" t="s">
        <v>9</v>
      </c>
      <c r="C130" t="s">
        <v>12</v>
      </c>
      <c r="D130" t="s">
        <v>15</v>
      </c>
      <c r="E130" t="s">
        <v>26</v>
      </c>
      <c r="F130" t="s">
        <v>32</v>
      </c>
      <c r="G130" s="12">
        <v>1972.313043004642</v>
      </c>
      <c r="H130" s="13">
        <v>3.382935032744881</v>
      </c>
    </row>
    <row r="131" spans="1:8">
      <c r="A131" t="s">
        <v>4</v>
      </c>
      <c r="B131" t="s">
        <v>9</v>
      </c>
      <c r="C131" t="s">
        <v>12</v>
      </c>
      <c r="D131" t="s">
        <v>15</v>
      </c>
      <c r="E131" t="s">
        <v>26</v>
      </c>
      <c r="F131" t="s">
        <v>32</v>
      </c>
      <c r="G131" s="12">
        <v>1972.313043004642</v>
      </c>
      <c r="H131" s="13">
        <v>3.382935032744881</v>
      </c>
    </row>
    <row r="132" spans="1:8">
      <c r="A132" t="s">
        <v>6</v>
      </c>
      <c r="B132" t="s">
        <v>8</v>
      </c>
      <c r="C132" t="s">
        <v>11</v>
      </c>
      <c r="D132" t="s">
        <v>21</v>
      </c>
      <c r="E132" t="s">
        <v>26</v>
      </c>
      <c r="F132" t="s">
        <v>33</v>
      </c>
      <c r="G132" s="12">
        <v>203.7755245005768</v>
      </c>
      <c r="H132" s="13">
        <v>-0.5471637282340687</v>
      </c>
    </row>
    <row r="133" spans="1:8">
      <c r="A133" t="s">
        <v>4</v>
      </c>
      <c r="B133" t="s">
        <v>8</v>
      </c>
      <c r="C133" t="s">
        <v>12</v>
      </c>
      <c r="D133" t="s">
        <v>21</v>
      </c>
      <c r="E133" t="s">
        <v>26</v>
      </c>
      <c r="F133" t="s">
        <v>32</v>
      </c>
      <c r="G133" s="12">
        <v>1270.642314382631</v>
      </c>
      <c r="H133" s="13">
        <v>1.823660642284035</v>
      </c>
    </row>
    <row r="134" spans="1:8">
      <c r="A134" t="s">
        <v>5</v>
      </c>
      <c r="B134" t="s">
        <v>9</v>
      </c>
      <c r="C134" t="s">
        <v>13</v>
      </c>
      <c r="D134" t="s">
        <v>15</v>
      </c>
      <c r="E134" t="s">
        <v>26</v>
      </c>
      <c r="F134" t="s">
        <v>34</v>
      </c>
      <c r="G134" s="12">
        <v>518.374427863935</v>
      </c>
      <c r="H134" s="13">
        <v>0.151947682961491</v>
      </c>
    </row>
    <row r="135" spans="1:8">
      <c r="A135" t="s">
        <v>6</v>
      </c>
      <c r="B135" t="s">
        <v>8</v>
      </c>
      <c r="C135" t="s">
        <v>11</v>
      </c>
      <c r="D135" t="s">
        <v>17</v>
      </c>
      <c r="E135" t="s">
        <v>26</v>
      </c>
      <c r="F135" t="s">
        <v>32</v>
      </c>
      <c r="G135" s="12">
        <v>356.1874785087615</v>
      </c>
      <c r="H135" s="13">
        <v>-0.2084691710993056</v>
      </c>
    </row>
    <row r="136" spans="1:8">
      <c r="A136" t="s">
        <v>4</v>
      </c>
      <c r="B136" t="s">
        <v>9</v>
      </c>
      <c r="C136" t="s">
        <v>12</v>
      </c>
      <c r="D136" t="s">
        <v>21</v>
      </c>
      <c r="E136" t="s">
        <v>26</v>
      </c>
      <c r="F136" t="s">
        <v>30</v>
      </c>
      <c r="G136" s="12">
        <v>724.7603367436642</v>
      </c>
      <c r="H136" s="13">
        <v>0.6105848316140281</v>
      </c>
    </row>
    <row r="137" spans="1:8">
      <c r="A137" t="s">
        <v>4</v>
      </c>
      <c r="B137" t="s">
        <v>9</v>
      </c>
      <c r="C137" t="s">
        <v>13</v>
      </c>
      <c r="D137" t="s">
        <v>20</v>
      </c>
      <c r="E137" t="s">
        <v>26</v>
      </c>
      <c r="F137" t="s">
        <v>32</v>
      </c>
      <c r="G137" s="12">
        <v>1452.115185784267</v>
      </c>
      <c r="H137" s="13">
        <v>2.226935268682765</v>
      </c>
    </row>
    <row r="138" spans="1:8">
      <c r="A138" t="s">
        <v>5</v>
      </c>
      <c r="B138" t="s">
        <v>8</v>
      </c>
      <c r="C138" t="s">
        <v>12</v>
      </c>
      <c r="D138" t="s">
        <v>19</v>
      </c>
      <c r="E138" t="s">
        <v>26</v>
      </c>
      <c r="F138" t="s">
        <v>33</v>
      </c>
      <c r="G138" s="12">
        <v>279.6254860199714</v>
      </c>
      <c r="H138" s="13">
        <v>-0.3786075982856225</v>
      </c>
    </row>
    <row r="139" spans="1:8">
      <c r="A139" t="s">
        <v>4</v>
      </c>
      <c r="B139" t="s">
        <v>9</v>
      </c>
      <c r="C139" t="s">
        <v>13</v>
      </c>
      <c r="D139" t="s">
        <v>20</v>
      </c>
      <c r="E139" t="s">
        <v>25</v>
      </c>
      <c r="F139" t="s">
        <v>32</v>
      </c>
      <c r="G139" s="12">
        <v>736.8245894025271</v>
      </c>
      <c r="H139" s="13">
        <v>0.6373943869277539</v>
      </c>
    </row>
    <row r="140" spans="1:8">
      <c r="A140" t="s">
        <v>4</v>
      </c>
      <c r="B140" t="s">
        <v>9</v>
      </c>
      <c r="C140" t="s">
        <v>12</v>
      </c>
      <c r="D140" t="s">
        <v>19</v>
      </c>
      <c r="E140" t="s">
        <v>26</v>
      </c>
      <c r="F140" t="s">
        <v>32</v>
      </c>
      <c r="G140" s="12">
        <v>1321.577255130587</v>
      </c>
      <c r="H140" s="13">
        <v>1.936849842642874</v>
      </c>
    </row>
    <row r="141" spans="1:8">
      <c r="A141" t="s">
        <v>4</v>
      </c>
      <c r="B141" t="s">
        <v>9</v>
      </c>
      <c r="C141" t="s">
        <v>13</v>
      </c>
      <c r="D141" t="s">
        <v>15</v>
      </c>
      <c r="E141" t="s">
        <v>26</v>
      </c>
      <c r="F141" t="s">
        <v>32</v>
      </c>
      <c r="G141" s="12">
        <v>1709.172019303787</v>
      </c>
      <c r="H141" s="13">
        <v>2.798174912934572</v>
      </c>
    </row>
    <row r="142" spans="1:8">
      <c r="A142" t="s">
        <v>4</v>
      </c>
      <c r="B142" t="s">
        <v>9</v>
      </c>
      <c r="C142" t="s">
        <v>12</v>
      </c>
      <c r="D142" t="s">
        <v>21</v>
      </c>
      <c r="E142" t="s">
        <v>26</v>
      </c>
      <c r="F142" t="s">
        <v>32</v>
      </c>
      <c r="G142" s="12">
        <v>1463.432286281899</v>
      </c>
      <c r="H142" s="13">
        <v>2.252084479360091</v>
      </c>
    </row>
    <row r="143" spans="1:8">
      <c r="A143" t="s">
        <v>4</v>
      </c>
      <c r="B143" t="s">
        <v>8</v>
      </c>
      <c r="C143" t="s">
        <v>12</v>
      </c>
      <c r="D143" t="s">
        <v>19</v>
      </c>
      <c r="E143" t="s">
        <v>26</v>
      </c>
      <c r="F143" t="s">
        <v>32</v>
      </c>
      <c r="G143" s="12">
        <v>1147.475013251896</v>
      </c>
      <c r="H143" s="13">
        <v>1.549954457087315</v>
      </c>
    </row>
    <row r="144" spans="1:8">
      <c r="A144" t="s">
        <v>4</v>
      </c>
      <c r="B144" t="s">
        <v>8</v>
      </c>
      <c r="C144" t="s">
        <v>12</v>
      </c>
      <c r="D144" t="s">
        <v>17</v>
      </c>
      <c r="E144" t="s">
        <v>26</v>
      </c>
      <c r="F144" t="s">
        <v>32</v>
      </c>
      <c r="G144" s="12">
        <v>1356.354818945264</v>
      </c>
      <c r="H144" s="13">
        <v>2.014133620356303</v>
      </c>
    </row>
    <row r="145" spans="1:8">
      <c r="A145" t="s">
        <v>4</v>
      </c>
      <c r="B145" t="s">
        <v>8</v>
      </c>
      <c r="C145" t="s">
        <v>12</v>
      </c>
      <c r="D145" t="s">
        <v>19</v>
      </c>
      <c r="E145" t="s">
        <v>26</v>
      </c>
      <c r="F145" t="s">
        <v>34</v>
      </c>
      <c r="G145" s="12">
        <v>872.1494067839981</v>
      </c>
      <c r="H145" s="13">
        <v>0.9381173806759915</v>
      </c>
    </row>
    <row r="146" spans="1:8">
      <c r="A146" t="s">
        <v>6</v>
      </c>
      <c r="B146" t="s">
        <v>9</v>
      </c>
      <c r="C146" t="s">
        <v>12</v>
      </c>
      <c r="D146" t="s">
        <v>16</v>
      </c>
      <c r="E146" t="s">
        <v>26</v>
      </c>
      <c r="F146" t="s">
        <v>32</v>
      </c>
      <c r="G146" s="12">
        <v>363.7498933041557</v>
      </c>
      <c r="H146" s="13">
        <v>-0.1916637390932449</v>
      </c>
    </row>
    <row r="147" spans="1:8">
      <c r="A147" t="s">
        <v>4</v>
      </c>
      <c r="B147" t="s">
        <v>9</v>
      </c>
      <c r="C147" t="s">
        <v>12</v>
      </c>
      <c r="D147" t="s">
        <v>20</v>
      </c>
      <c r="E147" t="s">
        <v>23</v>
      </c>
      <c r="F147" t="s">
        <v>31</v>
      </c>
      <c r="G147" s="12">
        <v>466.6768894245961</v>
      </c>
      <c r="H147" s="13">
        <v>0.03706381443153961</v>
      </c>
    </row>
    <row r="148" spans="1:8">
      <c r="A148" t="s">
        <v>4</v>
      </c>
      <c r="B148" t="s">
        <v>9</v>
      </c>
      <c r="C148" t="s">
        <v>12</v>
      </c>
      <c r="D148" t="s">
        <v>17</v>
      </c>
      <c r="E148" t="s">
        <v>24</v>
      </c>
      <c r="F148" t="s">
        <v>32</v>
      </c>
      <c r="G148" s="12">
        <v>750.5739933846716</v>
      </c>
      <c r="H148" s="13">
        <v>0.667948737620937</v>
      </c>
    </row>
    <row r="149" spans="1:8">
      <c r="A149" t="s">
        <v>6</v>
      </c>
      <c r="B149" t="s">
        <v>9</v>
      </c>
      <c r="C149" t="s">
        <v>11</v>
      </c>
      <c r="D149" t="s">
        <v>16</v>
      </c>
      <c r="E149" t="s">
        <v>26</v>
      </c>
      <c r="F149" t="s">
        <v>32</v>
      </c>
      <c r="G149" s="12">
        <v>422.5608024488604</v>
      </c>
      <c r="H149" s="13">
        <v>-0.06097231821959814</v>
      </c>
    </row>
    <row r="150" spans="1:8">
      <c r="A150" t="s">
        <v>6</v>
      </c>
      <c r="B150" t="s">
        <v>9</v>
      </c>
      <c r="C150" t="s">
        <v>12</v>
      </c>
      <c r="D150" t="s">
        <v>17</v>
      </c>
      <c r="E150" t="s">
        <v>24</v>
      </c>
      <c r="F150" t="s">
        <v>34</v>
      </c>
      <c r="G150" s="12">
        <v>128.9615262253482</v>
      </c>
      <c r="H150" s="13">
        <v>-0.7134177086268978</v>
      </c>
    </row>
    <row r="151" spans="1:8">
      <c r="A151" t="s">
        <v>4</v>
      </c>
      <c r="B151" t="s">
        <v>8</v>
      </c>
      <c r="C151" t="s">
        <v>11</v>
      </c>
      <c r="D151" t="s">
        <v>15</v>
      </c>
      <c r="E151" t="s">
        <v>26</v>
      </c>
      <c r="F151" t="s">
        <v>32</v>
      </c>
      <c r="G151" s="12">
        <v>1989.357623048004</v>
      </c>
      <c r="H151" s="13">
        <v>3.420812025575931</v>
      </c>
    </row>
    <row r="152" spans="1:8">
      <c r="A152" t="s">
        <v>4</v>
      </c>
      <c r="B152" t="s">
        <v>8</v>
      </c>
      <c r="C152" t="s">
        <v>12</v>
      </c>
      <c r="D152" t="s">
        <v>21</v>
      </c>
      <c r="E152" t="s">
        <v>26</v>
      </c>
      <c r="F152" t="s">
        <v>32</v>
      </c>
      <c r="G152" s="12">
        <v>1270.642314382631</v>
      </c>
      <c r="H152" s="13">
        <v>1.823660642284035</v>
      </c>
    </row>
    <row r="153" spans="1:8">
      <c r="A153" t="s">
        <v>4</v>
      </c>
      <c r="B153" t="s">
        <v>9</v>
      </c>
      <c r="C153" t="s">
        <v>12</v>
      </c>
      <c r="D153" t="s">
        <v>15</v>
      </c>
      <c r="E153" t="s">
        <v>26</v>
      </c>
      <c r="F153" t="s">
        <v>32</v>
      </c>
      <c r="G153" s="12">
        <v>1972.313043004642</v>
      </c>
      <c r="H153" s="13">
        <v>3.382935032744881</v>
      </c>
    </row>
    <row r="154" spans="1:8">
      <c r="A154" t="s">
        <v>6</v>
      </c>
      <c r="B154" t="s">
        <v>8</v>
      </c>
      <c r="C154" t="s">
        <v>12</v>
      </c>
      <c r="D154" t="s">
        <v>21</v>
      </c>
      <c r="E154" t="s">
        <v>26</v>
      </c>
      <c r="F154" t="s">
        <v>33</v>
      </c>
      <c r="G154" s="12">
        <v>175.4145790748157</v>
      </c>
      <c r="H154" s="13">
        <v>-0.610188298146646</v>
      </c>
    </row>
    <row r="155" spans="1:8">
      <c r="A155" t="s">
        <v>4</v>
      </c>
      <c r="B155" t="s">
        <v>9</v>
      </c>
      <c r="C155" t="s">
        <v>12</v>
      </c>
      <c r="D155" t="s">
        <v>17</v>
      </c>
      <c r="E155" t="s">
        <v>26</v>
      </c>
      <c r="F155" t="s">
        <v>31</v>
      </c>
      <c r="G155" s="12">
        <v>973.9313927982802</v>
      </c>
      <c r="H155" s="13">
        <v>1.164300457336453</v>
      </c>
    </row>
    <row r="156" spans="1:8">
      <c r="A156" t="s">
        <v>4</v>
      </c>
      <c r="B156" t="s">
        <v>8</v>
      </c>
      <c r="C156" t="s">
        <v>12</v>
      </c>
      <c r="D156" t="s">
        <v>17</v>
      </c>
      <c r="E156" t="s">
        <v>23</v>
      </c>
      <c r="F156" t="s">
        <v>32</v>
      </c>
      <c r="G156" s="12">
        <v>605.8885397570621</v>
      </c>
      <c r="H156" s="13">
        <v>0.3464242485535378</v>
      </c>
    </row>
    <row r="157" spans="1:8">
      <c r="A157" t="s">
        <v>4</v>
      </c>
      <c r="B157" t="s">
        <v>9</v>
      </c>
      <c r="C157" t="s">
        <v>11</v>
      </c>
      <c r="D157" t="s">
        <v>15</v>
      </c>
      <c r="E157" t="s">
        <v>26</v>
      </c>
      <c r="F157" t="s">
        <v>32</v>
      </c>
      <c r="G157" s="12">
        <v>2291.195674483718</v>
      </c>
      <c r="H157" s="13">
        <v>4.091565877022183</v>
      </c>
    </row>
    <row r="158" spans="1:8">
      <c r="A158" t="s">
        <v>4</v>
      </c>
      <c r="B158" t="s">
        <v>8</v>
      </c>
      <c r="C158" t="s">
        <v>12</v>
      </c>
      <c r="D158" t="s">
        <v>18</v>
      </c>
      <c r="E158" t="s">
        <v>26</v>
      </c>
      <c r="F158" t="s">
        <v>34</v>
      </c>
      <c r="G158" s="12">
        <v>1020.075767085461</v>
      </c>
      <c r="H158" s="13">
        <v>1.26684391277052</v>
      </c>
    </row>
    <row r="159" spans="1:8">
      <c r="A159" t="s">
        <v>6</v>
      </c>
      <c r="B159" t="s">
        <v>8</v>
      </c>
      <c r="C159" t="s">
        <v>12</v>
      </c>
      <c r="D159" t="s">
        <v>20</v>
      </c>
      <c r="E159" t="s">
        <v>25</v>
      </c>
      <c r="F159" t="s">
        <v>32</v>
      </c>
      <c r="G159" s="12">
        <v>166.8875212488558</v>
      </c>
      <c r="H159" s="13">
        <v>-0.629137389724272</v>
      </c>
    </row>
    <row r="160" spans="1:8">
      <c r="A160" t="s">
        <v>6</v>
      </c>
      <c r="B160" t="s">
        <v>8</v>
      </c>
      <c r="C160" t="s">
        <v>11</v>
      </c>
      <c r="D160" t="s">
        <v>15</v>
      </c>
      <c r="E160" t="s">
        <v>26</v>
      </c>
      <c r="F160" t="s">
        <v>34</v>
      </c>
      <c r="G160" s="12">
        <v>341.8058679590015</v>
      </c>
      <c r="H160" s="13">
        <v>-0.240428430776365</v>
      </c>
    </row>
    <row r="161" spans="1:8">
      <c r="A161" t="s">
        <v>5</v>
      </c>
      <c r="B161" t="s">
        <v>9</v>
      </c>
      <c r="C161" t="s">
        <v>11</v>
      </c>
      <c r="D161" t="s">
        <v>15</v>
      </c>
      <c r="E161" t="s">
        <v>26</v>
      </c>
      <c r="F161" t="s">
        <v>32</v>
      </c>
      <c r="G161" s="12">
        <v>914.265481288449</v>
      </c>
      <c r="H161" s="13">
        <v>1.031709023768328</v>
      </c>
    </row>
    <row r="162" spans="1:8">
      <c r="A162" t="s">
        <v>6</v>
      </c>
      <c r="B162" t="s">
        <v>9</v>
      </c>
      <c r="C162" t="s">
        <v>12</v>
      </c>
      <c r="D162" t="s">
        <v>19</v>
      </c>
      <c r="E162" t="s">
        <v>26</v>
      </c>
      <c r="F162" t="s">
        <v>32</v>
      </c>
      <c r="G162" s="12">
        <v>298.7525047211899</v>
      </c>
      <c r="H162" s="13">
        <v>-0.3361029458751585</v>
      </c>
    </row>
    <row r="163" spans="1:8">
      <c r="A163" t="s">
        <v>5</v>
      </c>
      <c r="B163" t="s">
        <v>8</v>
      </c>
      <c r="C163" t="s">
        <v>12</v>
      </c>
      <c r="D163" t="s">
        <v>18</v>
      </c>
      <c r="E163" t="s">
        <v>26</v>
      </c>
      <c r="F163" t="s">
        <v>32</v>
      </c>
      <c r="G163" s="12">
        <v>535.5437070869137</v>
      </c>
      <c r="H163" s="13">
        <v>0.1901017861654797</v>
      </c>
    </row>
    <row r="164" spans="1:8">
      <c r="A164" t="s">
        <v>4</v>
      </c>
      <c r="B164" t="s">
        <v>9</v>
      </c>
      <c r="C164" t="s">
        <v>12</v>
      </c>
      <c r="D164" t="s">
        <v>15</v>
      </c>
      <c r="E164" t="s">
        <v>26</v>
      </c>
      <c r="F164" t="s">
        <v>32</v>
      </c>
      <c r="G164" s="12">
        <v>1972.313043004642</v>
      </c>
      <c r="H164" s="13">
        <v>3.382935032744881</v>
      </c>
    </row>
    <row r="165" spans="1:8">
      <c r="A165" t="s">
        <v>5</v>
      </c>
      <c r="B165" t="s">
        <v>8</v>
      </c>
      <c r="C165" t="s">
        <v>12</v>
      </c>
      <c r="D165" t="s">
        <v>17</v>
      </c>
      <c r="E165" t="s">
        <v>26</v>
      </c>
      <c r="F165" t="s">
        <v>31</v>
      </c>
      <c r="G165" s="12">
        <v>337.4342707852971</v>
      </c>
      <c r="H165" s="13">
        <v>-0.2501431291958858</v>
      </c>
    </row>
    <row r="166" spans="1:8">
      <c r="A166" t="s">
        <v>5</v>
      </c>
      <c r="B166" t="s">
        <v>8</v>
      </c>
      <c r="C166" t="s">
        <v>13</v>
      </c>
      <c r="D166" t="s">
        <v>19</v>
      </c>
      <c r="E166" t="s">
        <v>26</v>
      </c>
      <c r="F166" t="s">
        <v>32</v>
      </c>
      <c r="G166" s="12">
        <v>396.792365317401</v>
      </c>
      <c r="H166" s="13">
        <v>-0.1182357360340954</v>
      </c>
    </row>
    <row r="167" spans="1:8">
      <c r="A167" t="s">
        <v>5</v>
      </c>
      <c r="B167" t="s">
        <v>8</v>
      </c>
      <c r="C167" t="s">
        <v>11</v>
      </c>
      <c r="D167" t="s">
        <v>21</v>
      </c>
      <c r="E167" t="s">
        <v>24</v>
      </c>
      <c r="F167" t="s">
        <v>32</v>
      </c>
      <c r="G167" s="12">
        <v>283.0027591065068</v>
      </c>
      <c r="H167" s="13">
        <v>-0.3711025175994592</v>
      </c>
    </row>
    <row r="168" spans="1:8">
      <c r="A168" t="s">
        <v>4</v>
      </c>
      <c r="B168" t="s">
        <v>9</v>
      </c>
      <c r="C168" t="s">
        <v>12</v>
      </c>
      <c r="D168" t="s">
        <v>17</v>
      </c>
      <c r="E168" t="s">
        <v>26</v>
      </c>
      <c r="F168" t="s">
        <v>32</v>
      </c>
      <c r="G168" s="12">
        <v>1562.149639777235</v>
      </c>
      <c r="H168" s="13">
        <v>2.471457234871272</v>
      </c>
    </row>
    <row r="169" spans="1:8">
      <c r="A169" t="s">
        <v>6</v>
      </c>
      <c r="B169" t="s">
        <v>9</v>
      </c>
      <c r="C169" t="s">
        <v>12</v>
      </c>
      <c r="D169" t="s">
        <v>21</v>
      </c>
      <c r="E169" t="s">
        <v>26</v>
      </c>
      <c r="F169" t="s">
        <v>33</v>
      </c>
      <c r="G169" s="12">
        <v>202.0295999880669</v>
      </c>
      <c r="H169" s="13">
        <v>-0.5510435756738801</v>
      </c>
    </row>
    <row r="170" spans="1:8">
      <c r="A170" t="s">
        <v>6</v>
      </c>
      <c r="B170" t="s">
        <v>8</v>
      </c>
      <c r="C170" t="s">
        <v>12</v>
      </c>
      <c r="D170" t="s">
        <v>16</v>
      </c>
      <c r="E170" t="s">
        <v>26</v>
      </c>
      <c r="F170" t="s">
        <v>32</v>
      </c>
      <c r="G170" s="12">
        <v>315.8301279922666</v>
      </c>
      <c r="H170" s="13">
        <v>-0.2981525233617051</v>
      </c>
    </row>
    <row r="171" spans="1:8">
      <c r="A171" t="s">
        <v>4</v>
      </c>
      <c r="B171" t="s">
        <v>8</v>
      </c>
      <c r="C171" t="s">
        <v>12</v>
      </c>
      <c r="D171" t="s">
        <v>15</v>
      </c>
      <c r="E171" t="s">
        <v>26</v>
      </c>
      <c r="F171" t="s">
        <v>32</v>
      </c>
      <c r="G171" s="12">
        <v>1712.484023444403</v>
      </c>
      <c r="H171" s="13">
        <v>2.805534950950844</v>
      </c>
    </row>
    <row r="172" spans="1:8">
      <c r="A172" t="s">
        <v>4</v>
      </c>
      <c r="B172" t="s">
        <v>9</v>
      </c>
      <c r="C172" t="s">
        <v>11</v>
      </c>
      <c r="D172" t="s">
        <v>21</v>
      </c>
      <c r="E172" t="s">
        <v>26</v>
      </c>
      <c r="F172" t="s">
        <v>32</v>
      </c>
      <c r="G172" s="12">
        <v>1700.039319884481</v>
      </c>
      <c r="H172" s="13">
        <v>2.777879945880344</v>
      </c>
    </row>
    <row r="173" spans="1:8">
      <c r="A173" t="s">
        <v>4</v>
      </c>
      <c r="B173" t="s">
        <v>9</v>
      </c>
      <c r="C173" t="s">
        <v>12</v>
      </c>
      <c r="D173" t="s">
        <v>19</v>
      </c>
      <c r="E173" t="s">
        <v>24</v>
      </c>
      <c r="F173" t="s">
        <v>32</v>
      </c>
      <c r="G173" s="12">
        <v>634.9849545086925</v>
      </c>
      <c r="H173" s="13">
        <v>0.4110832011445114</v>
      </c>
    </row>
    <row r="174" spans="1:8">
      <c r="A174" t="s">
        <v>6</v>
      </c>
      <c r="B174" t="s">
        <v>8</v>
      </c>
      <c r="C174" t="s">
        <v>12</v>
      </c>
      <c r="D174" t="s">
        <v>21</v>
      </c>
      <c r="E174" t="s">
        <v>26</v>
      </c>
      <c r="F174" t="s">
        <v>32</v>
      </c>
      <c r="G174" s="12">
        <v>287.2382772576022</v>
      </c>
      <c r="H174" s="13">
        <v>-0.3616902181918649</v>
      </c>
    </row>
    <row r="175" spans="1:8">
      <c r="A175" t="s">
        <v>6</v>
      </c>
      <c r="B175" t="s">
        <v>9</v>
      </c>
      <c r="C175" t="s">
        <v>12</v>
      </c>
      <c r="D175" t="s">
        <v>15</v>
      </c>
      <c r="E175" t="s">
        <v>25</v>
      </c>
      <c r="F175" t="s">
        <v>34</v>
      </c>
      <c r="G175" s="12">
        <v>171.9513310986196</v>
      </c>
      <c r="H175" s="13">
        <v>-0.6178844348911602</v>
      </c>
    </row>
    <row r="176" spans="1:8">
      <c r="A176" t="s">
        <v>4</v>
      </c>
      <c r="B176" t="s">
        <v>8</v>
      </c>
      <c r="C176" t="s">
        <v>12</v>
      </c>
      <c r="D176" t="s">
        <v>15</v>
      </c>
      <c r="E176" t="s">
        <v>26</v>
      </c>
      <c r="F176" t="s">
        <v>33</v>
      </c>
      <c r="G176" s="12">
        <v>1045.803042034839</v>
      </c>
      <c r="H176" s="13">
        <v>1.324015858711164</v>
      </c>
    </row>
    <row r="177" spans="1:8">
      <c r="A177" t="s">
        <v>6</v>
      </c>
      <c r="B177" t="s">
        <v>9</v>
      </c>
      <c r="C177" t="s">
        <v>12</v>
      </c>
      <c r="D177" t="s">
        <v>18</v>
      </c>
      <c r="E177" t="s">
        <v>26</v>
      </c>
      <c r="F177" t="s">
        <v>34</v>
      </c>
      <c r="G177" s="12">
        <v>265.5832910544355</v>
      </c>
      <c r="H177" s="13">
        <v>-0.4098125981558872</v>
      </c>
    </row>
    <row r="178" spans="1:8">
      <c r="A178" t="s">
        <v>4</v>
      </c>
      <c r="B178" t="s">
        <v>9</v>
      </c>
      <c r="C178" t="s">
        <v>12</v>
      </c>
      <c r="D178" t="s">
        <v>19</v>
      </c>
      <c r="E178" t="s">
        <v>26</v>
      </c>
      <c r="F178" t="s">
        <v>34</v>
      </c>
      <c r="G178" s="12">
        <v>1004.477488198118</v>
      </c>
      <c r="H178" s="13">
        <v>1.232180935091423</v>
      </c>
    </row>
    <row r="179" spans="1:8">
      <c r="A179" t="s">
        <v>4</v>
      </c>
      <c r="B179" t="s">
        <v>8</v>
      </c>
      <c r="C179" t="s">
        <v>12</v>
      </c>
      <c r="D179" t="s">
        <v>15</v>
      </c>
      <c r="E179" t="s">
        <v>26</v>
      </c>
      <c r="F179" t="s">
        <v>32</v>
      </c>
      <c r="G179" s="12">
        <v>1712.484023444403</v>
      </c>
      <c r="H179" s="13">
        <v>2.805534950950844</v>
      </c>
    </row>
    <row r="180" spans="1:8">
      <c r="A180" t="s">
        <v>6</v>
      </c>
      <c r="B180" t="s">
        <v>9</v>
      </c>
      <c r="C180" t="s">
        <v>12</v>
      </c>
      <c r="D180" t="s">
        <v>17</v>
      </c>
      <c r="E180" t="s">
        <v>26</v>
      </c>
      <c r="F180" t="s">
        <v>34</v>
      </c>
      <c r="G180" s="12">
        <v>268.4041860144796</v>
      </c>
      <c r="H180" s="13">
        <v>-0.4035439181469392</v>
      </c>
    </row>
    <row r="181" spans="1:8">
      <c r="A181" t="s">
        <v>6</v>
      </c>
      <c r="B181" t="s">
        <v>9</v>
      </c>
      <c r="C181" t="s">
        <v>12</v>
      </c>
      <c r="D181" t="s">
        <v>20</v>
      </c>
      <c r="E181" t="s">
        <v>26</v>
      </c>
      <c r="F181" t="s">
        <v>32</v>
      </c>
      <c r="G181" s="12">
        <v>378.8001470351347</v>
      </c>
      <c r="H181" s="13">
        <v>-0.1582185998628535</v>
      </c>
    </row>
    <row r="182" spans="1:8">
      <c r="A182" t="s">
        <v>5</v>
      </c>
      <c r="B182" t="s">
        <v>9</v>
      </c>
      <c r="C182" t="s">
        <v>12</v>
      </c>
      <c r="D182" t="s">
        <v>21</v>
      </c>
      <c r="E182" t="s">
        <v>26</v>
      </c>
      <c r="F182" t="s">
        <v>32</v>
      </c>
      <c r="G182" s="12">
        <v>583.959562446391</v>
      </c>
      <c r="H182" s="13">
        <v>0.2976929970779669</v>
      </c>
    </row>
    <row r="183" spans="1:8">
      <c r="A183" t="s">
        <v>4</v>
      </c>
      <c r="B183" t="s">
        <v>8</v>
      </c>
      <c r="C183" t="s">
        <v>12</v>
      </c>
      <c r="D183" t="s">
        <v>19</v>
      </c>
      <c r="E183" t="s">
        <v>26</v>
      </c>
      <c r="F183" t="s">
        <v>34</v>
      </c>
      <c r="G183" s="12">
        <v>872.1494067839981</v>
      </c>
      <c r="H183" s="13">
        <v>0.9381173806759915</v>
      </c>
    </row>
    <row r="184" spans="1:8">
      <c r="A184" t="s">
        <v>6</v>
      </c>
      <c r="B184" t="s">
        <v>9</v>
      </c>
      <c r="C184" t="s">
        <v>13</v>
      </c>
      <c r="D184" t="s">
        <v>16</v>
      </c>
      <c r="E184" t="s">
        <v>26</v>
      </c>
      <c r="F184" t="s">
        <v>32</v>
      </c>
      <c r="G184" s="12">
        <v>315.2193014518017</v>
      </c>
      <c r="H184" s="13">
        <v>-0.2995099209881262</v>
      </c>
    </row>
    <row r="185" spans="1:8">
      <c r="A185" t="s">
        <v>4</v>
      </c>
      <c r="B185" t="s">
        <v>9</v>
      </c>
      <c r="C185" t="s">
        <v>11</v>
      </c>
      <c r="D185" t="s">
        <v>19</v>
      </c>
      <c r="E185" t="s">
        <v>26</v>
      </c>
      <c r="F185" t="s">
        <v>34</v>
      </c>
      <c r="G185" s="12">
        <v>1166.880929089095</v>
      </c>
      <c r="H185" s="13">
        <v>1.593078883337512</v>
      </c>
    </row>
    <row r="186" spans="1:8">
      <c r="A186" t="s">
        <v>4</v>
      </c>
      <c r="B186" t="s">
        <v>8</v>
      </c>
      <c r="C186" t="s">
        <v>11</v>
      </c>
      <c r="D186" t="s">
        <v>15</v>
      </c>
      <c r="E186" t="s">
        <v>26</v>
      </c>
      <c r="F186" t="s">
        <v>30</v>
      </c>
      <c r="G186" s="12">
        <v>985.2232414845831</v>
      </c>
      <c r="H186" s="13">
        <v>1.1893935526578</v>
      </c>
    </row>
    <row r="187" spans="1:8">
      <c r="A187" t="s">
        <v>6</v>
      </c>
      <c r="B187" t="s">
        <v>9</v>
      </c>
      <c r="C187" t="s">
        <v>12</v>
      </c>
      <c r="D187" t="s">
        <v>17</v>
      </c>
      <c r="E187" t="s">
        <v>26</v>
      </c>
      <c r="F187" t="s">
        <v>34</v>
      </c>
      <c r="G187" s="12">
        <v>268.4041860144796</v>
      </c>
      <c r="H187" s="13">
        <v>-0.4035439181469392</v>
      </c>
    </row>
    <row r="188" spans="1:8">
      <c r="A188" t="s">
        <v>4</v>
      </c>
      <c r="B188" t="s">
        <v>8</v>
      </c>
      <c r="C188" t="s">
        <v>12</v>
      </c>
      <c r="D188" t="s">
        <v>15</v>
      </c>
      <c r="E188" t="s">
        <v>26</v>
      </c>
      <c r="F188" t="s">
        <v>29</v>
      </c>
      <c r="G188" s="12">
        <v>867.1716199778422</v>
      </c>
      <c r="H188" s="13">
        <v>0.9270555889104211</v>
      </c>
    </row>
    <row r="189" spans="1:8">
      <c r="A189" t="s">
        <v>4</v>
      </c>
      <c r="B189" t="s">
        <v>8</v>
      </c>
      <c r="C189" t="s">
        <v>13</v>
      </c>
      <c r="D189" t="s">
        <v>15</v>
      </c>
      <c r="E189" t="s">
        <v>26</v>
      </c>
      <c r="F189" t="s">
        <v>34</v>
      </c>
      <c r="G189" s="12">
        <v>1127.935091906762</v>
      </c>
      <c r="H189" s="13">
        <v>1.506532239653616</v>
      </c>
    </row>
    <row r="190" spans="1:8">
      <c r="A190" t="s">
        <v>6</v>
      </c>
      <c r="B190" t="s">
        <v>8</v>
      </c>
      <c r="C190" t="s">
        <v>12</v>
      </c>
      <c r="D190" t="s">
        <v>17</v>
      </c>
      <c r="E190" t="s">
        <v>23</v>
      </c>
      <c r="F190" t="s">
        <v>34</v>
      </c>
      <c r="G190" s="12">
        <v>104.1020758755136</v>
      </c>
      <c r="H190" s="13">
        <v>-0.7686611479072492</v>
      </c>
    </row>
    <row r="191" spans="1:8">
      <c r="A191" t="s">
        <v>4</v>
      </c>
      <c r="B191" t="s">
        <v>8</v>
      </c>
      <c r="C191" t="s">
        <v>11</v>
      </c>
      <c r="D191" t="s">
        <v>21</v>
      </c>
      <c r="E191" t="s">
        <v>26</v>
      </c>
      <c r="F191" t="s">
        <v>30</v>
      </c>
      <c r="G191" s="12">
        <v>731.0236607204008</v>
      </c>
      <c r="H191" s="13">
        <v>0.6245033838319101</v>
      </c>
    </row>
    <row r="192" spans="1:8">
      <c r="A192" t="s">
        <v>6</v>
      </c>
      <c r="B192" t="s">
        <v>8</v>
      </c>
      <c r="C192" t="s">
        <v>12</v>
      </c>
      <c r="D192" t="s">
        <v>18</v>
      </c>
      <c r="E192" t="s">
        <v>26</v>
      </c>
      <c r="F192" t="s">
        <v>33</v>
      </c>
      <c r="G192" s="12">
        <v>185.2794061041312</v>
      </c>
      <c r="H192" s="13">
        <v>-0.5882663744783383</v>
      </c>
    </row>
    <row r="193" spans="1:8">
      <c r="A193" t="s">
        <v>5</v>
      </c>
      <c r="B193" t="s">
        <v>9</v>
      </c>
      <c r="C193" t="s">
        <v>12</v>
      </c>
      <c r="D193" t="s">
        <v>21</v>
      </c>
      <c r="E193" t="s">
        <v>26</v>
      </c>
      <c r="F193" t="s">
        <v>29</v>
      </c>
      <c r="G193" s="12">
        <v>295.7067936608572</v>
      </c>
      <c r="H193" s="13">
        <v>-0.342871219174013</v>
      </c>
    </row>
    <row r="194" spans="1:8">
      <c r="A194" t="s">
        <v>4</v>
      </c>
      <c r="B194" t="s">
        <v>8</v>
      </c>
      <c r="C194" t="s">
        <v>12</v>
      </c>
      <c r="D194" t="s">
        <v>17</v>
      </c>
      <c r="E194" t="s">
        <v>26</v>
      </c>
      <c r="F194" t="s">
        <v>32</v>
      </c>
      <c r="G194" s="12">
        <v>1356.354818945264</v>
      </c>
      <c r="H194" s="13">
        <v>2.014133620356303</v>
      </c>
    </row>
    <row r="195" spans="1:8">
      <c r="A195" t="s">
        <v>6</v>
      </c>
      <c r="B195" t="s">
        <v>9</v>
      </c>
      <c r="C195" t="s">
        <v>12</v>
      </c>
      <c r="D195" t="s">
        <v>21</v>
      </c>
      <c r="E195" t="s">
        <v>26</v>
      </c>
      <c r="F195" t="s">
        <v>32</v>
      </c>
      <c r="G195" s="12">
        <v>330.819904261574</v>
      </c>
      <c r="H195" s="13">
        <v>-0.2648417790167462</v>
      </c>
    </row>
    <row r="196" spans="1:8">
      <c r="A196" t="s">
        <v>5</v>
      </c>
      <c r="B196" t="s">
        <v>8</v>
      </c>
      <c r="C196" t="s">
        <v>11</v>
      </c>
      <c r="D196" t="s">
        <v>17</v>
      </c>
      <c r="E196" t="s">
        <v>26</v>
      </c>
      <c r="F196" t="s">
        <v>34</v>
      </c>
      <c r="G196" s="12">
        <v>477.8784466396137</v>
      </c>
      <c r="H196" s="13">
        <v>0.06195626125337061</v>
      </c>
    </row>
    <row r="197" spans="1:8">
      <c r="A197" t="s">
        <v>5</v>
      </c>
      <c r="B197" t="s">
        <v>8</v>
      </c>
      <c r="C197" t="s">
        <v>12</v>
      </c>
      <c r="D197" t="s">
        <v>18</v>
      </c>
      <c r="E197" t="s">
        <v>26</v>
      </c>
      <c r="F197" t="s">
        <v>29</v>
      </c>
      <c r="G197" s="12">
        <v>271.1898608603721</v>
      </c>
      <c r="H197" s="13">
        <v>-0.3973535053647479</v>
      </c>
    </row>
    <row r="198" spans="1:8">
      <c r="A198" t="s">
        <v>4</v>
      </c>
      <c r="B198" t="s">
        <v>8</v>
      </c>
      <c r="C198" t="s">
        <v>12</v>
      </c>
      <c r="D198" t="s">
        <v>17</v>
      </c>
      <c r="E198" t="s">
        <v>26</v>
      </c>
      <c r="F198" t="s">
        <v>30</v>
      </c>
      <c r="G198" s="12">
        <v>671.7305505266826</v>
      </c>
      <c r="H198" s="13">
        <v>0.4927404008763496</v>
      </c>
    </row>
    <row r="199" spans="1:8">
      <c r="A199" t="s">
        <v>4</v>
      </c>
      <c r="B199" t="s">
        <v>8</v>
      </c>
      <c r="C199" t="s">
        <v>12</v>
      </c>
      <c r="D199" t="s">
        <v>17</v>
      </c>
      <c r="E199" t="s">
        <v>26</v>
      </c>
      <c r="F199" t="s">
        <v>32</v>
      </c>
      <c r="G199" s="12">
        <v>1356.354818945264</v>
      </c>
      <c r="H199" s="13">
        <v>2.014133620356303</v>
      </c>
    </row>
    <row r="200" spans="1:8">
      <c r="A200" t="s">
        <v>4</v>
      </c>
      <c r="B200" t="s">
        <v>9</v>
      </c>
      <c r="C200" t="s">
        <v>13</v>
      </c>
      <c r="D200" t="s">
        <v>21</v>
      </c>
      <c r="E200" t="s">
        <v>24</v>
      </c>
      <c r="F200" t="s">
        <v>33</v>
      </c>
      <c r="G200" s="12">
        <v>372.1146871266359</v>
      </c>
      <c r="H200" s="13">
        <v>-0.1730752356017379</v>
      </c>
    </row>
    <row r="201" spans="1:8">
      <c r="A201" t="s">
        <v>5</v>
      </c>
      <c r="B201" t="s">
        <v>8</v>
      </c>
      <c r="C201" t="s">
        <v>12</v>
      </c>
      <c r="D201" t="s">
        <v>17</v>
      </c>
      <c r="E201" t="s">
        <v>26</v>
      </c>
      <c r="F201" t="s">
        <v>32</v>
      </c>
      <c r="G201" s="12">
        <v>541.2319886734806</v>
      </c>
      <c r="H201" s="13">
        <v>0.202742461402257</v>
      </c>
    </row>
  </sheetData>
  <conditionalFormatting sqref="H2:H201">
    <cfRule type="cellIs" dxfId="0" priority="1" operator="greaterThan">
      <formula>0</formula>
    </cfRule>
    <cfRule type="cellIs" dxfId="1" priority="2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Cotizador</vt:lpstr>
      <vt:lpstr>Factores</vt:lpstr>
      <vt:lpstr>Control</vt:lpstr>
      <vt:lpstr>Reprecio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2026-10-19T19:46:54Z</dcterms:created>
  <dcterms:modified xsi:type="dcterms:W3CDTF">2026-10-19T19:46:54Z</dcterms:modified>
</cp:coreProperties>
</file>