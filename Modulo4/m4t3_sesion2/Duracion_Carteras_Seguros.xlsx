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1c1db5119534f48/Documentos/respaldo200825/Clases/DiplomadoML/Modulo4/"/>
    </mc:Choice>
  </mc:AlternateContent>
  <xr:revisionPtr revIDLastSave="62" documentId="11_F16D01C4D1E3A74C519F0F1C109E139C46DB7D7B" xr6:coauthVersionLast="47" xr6:coauthVersionMax="47" xr10:uidLastSave="{65F8E350-8E38-4393-9246-8D35A90B177A}"/>
  <bookViews>
    <workbookView xWindow="-108" yWindow="-108" windowWidth="23256" windowHeight="12456" tabRatio="500" activeTab="1" xr2:uid="{00000000-000D-0000-FFFF-FFFF00000000}"/>
  </bookViews>
  <sheets>
    <sheet name="0_Instrucciones" sheetId="1" r:id="rId1"/>
    <sheet name="1_Auto_Duration" sheetId="2" r:id="rId2"/>
    <sheet name="2_Credito_Duration" sheetId="3" r:id="rId3"/>
    <sheet name="3_Comparacion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1" i="2" l="1" a="1"/>
  <c r="C31" i="2" a="1"/>
  <c r="J31" i="2" a="1"/>
  <c r="E12" i="2"/>
  <c r="C27" i="3" a="1"/>
  <c r="C21" i="3"/>
  <c r="C36" i="3"/>
  <c r="C35" i="3"/>
  <c r="C34" i="3"/>
  <c r="C33" i="3"/>
  <c r="C32" i="3"/>
  <c r="F17" i="3"/>
  <c r="D17" i="3"/>
  <c r="E17" i="3" s="1"/>
  <c r="G17" i="3" s="1"/>
  <c r="H17" i="3" s="1"/>
  <c r="F16" i="3"/>
  <c r="D16" i="3"/>
  <c r="E16" i="3" s="1"/>
  <c r="G16" i="3" s="1"/>
  <c r="H16" i="3" s="1"/>
  <c r="F15" i="3"/>
  <c r="D15" i="3"/>
  <c r="E15" i="3" s="1"/>
  <c r="G15" i="3" s="1"/>
  <c r="H15" i="3" s="1"/>
  <c r="F14" i="3"/>
  <c r="D14" i="3"/>
  <c r="C40" i="2"/>
  <c r="D40" i="2" s="1"/>
  <c r="E40" i="2" s="1"/>
  <c r="F40" i="2" s="1"/>
  <c r="C39" i="2"/>
  <c r="C38" i="2"/>
  <c r="C37" i="2"/>
  <c r="C36" i="2"/>
  <c r="D36" i="2" s="1"/>
  <c r="D21" i="2"/>
  <c r="E21" i="2" s="1"/>
  <c r="F21" i="2" s="1"/>
  <c r="J21" i="2" s="1"/>
  <c r="D20" i="2"/>
  <c r="E20" i="2" s="1"/>
  <c r="F20" i="2" s="1"/>
  <c r="J20" i="2" s="1"/>
  <c r="D19" i="2"/>
  <c r="E19" i="2" s="1"/>
  <c r="F19" i="2" s="1"/>
  <c r="J19" i="2" s="1"/>
  <c r="D18" i="2"/>
  <c r="D17" i="2"/>
  <c r="E17" i="2" s="1"/>
  <c r="F17" i="2" s="1"/>
  <c r="J17" i="2" s="1"/>
  <c r="D16" i="2"/>
  <c r="E16" i="2" s="1"/>
  <c r="F16" i="2" s="1"/>
  <c r="J16" i="2" s="1"/>
  <c r="D15" i="2"/>
  <c r="E15" i="2" s="1"/>
  <c r="F15" i="2" s="1"/>
  <c r="J15" i="2" s="1"/>
  <c r="D14" i="2"/>
  <c r="E14" i="2" s="1"/>
  <c r="F14" i="2" s="1"/>
  <c r="J14" i="2" s="1"/>
  <c r="D13" i="2"/>
  <c r="E13" i="2" s="1"/>
  <c r="F13" i="2" s="1"/>
  <c r="J13" i="2" s="1"/>
  <c r="D12" i="2"/>
  <c r="D32" i="3" l="1"/>
  <c r="E14" i="3"/>
  <c r="D34" i="3"/>
  <c r="E34" i="3" s="1"/>
  <c r="F34" i="3" s="1"/>
  <c r="D36" i="3"/>
  <c r="E36" i="3" s="1"/>
  <c r="F36" i="3" s="1"/>
  <c r="D33" i="3"/>
  <c r="E33" i="3" s="1"/>
  <c r="F33" i="3" s="1"/>
  <c r="D35" i="3"/>
  <c r="E35" i="3" s="1"/>
  <c r="F35" i="3" s="1"/>
  <c r="D39" i="2"/>
  <c r="E39" i="2" s="1"/>
  <c r="F39" i="2" s="1"/>
  <c r="E18" i="2"/>
  <c r="D38" i="2"/>
  <c r="E38" i="2" s="1"/>
  <c r="F38" i="2" s="1"/>
  <c r="D37" i="2"/>
  <c r="E37" i="2" s="1"/>
  <c r="F37" i="2" s="1"/>
  <c r="F12" i="2"/>
  <c r="J12" i="2" l="1"/>
  <c r="G14" i="3"/>
  <c r="E18" i="3"/>
  <c r="F18" i="2"/>
  <c r="E22" i="2"/>
  <c r="F22" i="2" l="1"/>
  <c r="C27" i="2" s="1"/>
  <c r="J18" i="2"/>
  <c r="J22" i="2" s="1"/>
  <c r="K22" i="2" s="1"/>
  <c r="J27" i="2" s="1"/>
  <c r="H14" i="3"/>
  <c r="G18" i="3"/>
  <c r="G12" i="2" l="1"/>
  <c r="H12" i="2" s="1"/>
  <c r="G16" i="2"/>
  <c r="G19" i="2"/>
  <c r="H19" i="2" s="1"/>
  <c r="I20" i="2"/>
  <c r="G21" i="2"/>
  <c r="H21" i="2" s="1"/>
  <c r="I13" i="2"/>
  <c r="G13" i="2"/>
  <c r="H13" i="2" s="1"/>
  <c r="I14" i="2"/>
  <c r="G14" i="2"/>
  <c r="H14" i="2" s="1"/>
  <c r="I15" i="2"/>
  <c r="G15" i="2"/>
  <c r="H15" i="2" s="1"/>
  <c r="I16" i="2"/>
  <c r="I17" i="2"/>
  <c r="G17" i="2"/>
  <c r="H17" i="2" s="1"/>
  <c r="I19" i="2"/>
  <c r="G20" i="2"/>
  <c r="H20" i="2" s="1"/>
  <c r="I21" i="2"/>
  <c r="I18" i="2"/>
  <c r="G18" i="2"/>
  <c r="H18" i="2" s="1"/>
  <c r="I12" i="2"/>
  <c r="C29" i="2"/>
  <c r="C8" i="4" s="1"/>
  <c r="C25" i="2"/>
  <c r="C5" i="4" s="1"/>
  <c r="I14" i="3"/>
  <c r="H18" i="3"/>
  <c r="K14" i="3" s="1"/>
  <c r="C23" i="3"/>
  <c r="E6" i="4" s="1"/>
  <c r="C25" i="3"/>
  <c r="C32" i="2"/>
  <c r="C7" i="4" s="1"/>
  <c r="C6" i="4"/>
  <c r="G38" i="2"/>
  <c r="G37" i="2"/>
  <c r="G40" i="2"/>
  <c r="G39" i="2"/>
  <c r="H16" i="2" l="1"/>
  <c r="H22" i="2" s="1"/>
  <c r="G22" i="2"/>
  <c r="J14" i="3"/>
  <c r="K15" i="3"/>
  <c r="I15" i="3"/>
  <c r="K16" i="3"/>
  <c r="I16" i="3"/>
  <c r="J16" i="3" s="1"/>
  <c r="I17" i="3"/>
  <c r="J17" i="3" s="1"/>
  <c r="K17" i="3"/>
  <c r="G35" i="3"/>
  <c r="G33" i="3"/>
  <c r="D6" i="4"/>
  <c r="G36" i="3"/>
  <c r="G34" i="3"/>
  <c r="D5" i="4"/>
  <c r="E5" i="4"/>
  <c r="D8" i="4"/>
  <c r="E8" i="4"/>
  <c r="E7" i="4" l="1"/>
  <c r="D7" i="4"/>
  <c r="J15" i="3"/>
  <c r="I1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<sst xmlns="http://schemas.openxmlformats.org/spreadsheetml/2006/main" count="170" uniqueCount="138">
  <si>
    <t>DURACIÓN DE CARTERAS DE SEGUROS — EJERCICIO ACTUARIAL</t>
  </si>
  <si>
    <t>Diplomado ML en Seguros · Módulo: Reservas y Gestión de Activos y Pasivos</t>
  </si>
  <si>
    <t>PROPÓSITO</t>
  </si>
  <si>
    <t>Calcular las tres medidas de duración (Macaulay, Modificada y Efectiva)</t>
  </si>
  <si>
    <t>para dos carteras: Auto Daños RC Personal y Crédito/Caución.</t>
  </si>
  <si>
    <t>REFERENCIAS</t>
  </si>
  <si>
    <t>D'Arcy &amp; Gorvett (2000). The Effective Duration and Convexity of P-L Liabilities. PCAS.</t>
  </si>
  <si>
    <t>Hodes &amp; Feldblum (1996). Interest Rate Risk and Capital Requirements. Proc. CAS 83.</t>
  </si>
  <si>
    <t>Macaulay, F. (1938). Movement of Interest Rates, Bond Yields and Stock Prices. NBER.</t>
  </si>
  <si>
    <t>HOJAS</t>
  </si>
  <si>
    <t>1_Auto_Duration</t>
  </si>
  <si>
    <t>Cartera de Auto Daños RC Personal — patrón de 10 años</t>
  </si>
  <si>
    <t>2_Credito_Duration</t>
  </si>
  <si>
    <t>Cartera de Crédito / Caución — patrón de 4 años con recovery</t>
  </si>
  <si>
    <t>3_Comparacion</t>
  </si>
  <si>
    <t>Resumen comparativo y análisis de sensibilidad</t>
  </si>
  <si>
    <t>CELDAS AMARILLAS →</t>
  </si>
  <si>
    <t>Parámetros que puedes modificar (tasa, reserva, patrón de pago)</t>
  </si>
  <si>
    <t>CELDAS BLANCAS c/ fórmula →</t>
  </si>
  <si>
    <t>Calculadas automáticamente — no modificar</t>
  </si>
  <si>
    <t>CELDAS VERDES →</t>
  </si>
  <si>
    <t>Resultados finales de duración</t>
  </si>
  <si>
    <t>FÓRMULAS CLAVE</t>
  </si>
  <si>
    <t>D_Macaulay = Σ[t × PV(CF_t)] / Σ[PV(CF_t)]</t>
  </si>
  <si>
    <t>D_Modificada = D_Macaulay / (1 + r)</t>
  </si>
  <si>
    <t>D_Efectiva = (PV₋ - PV₊) / (2 × PV₀ × Δr)   [numérica, ±100 bps]</t>
  </si>
  <si>
    <t>Convexidad = Σ[t(t+1) × PV(CF_t) / (1+r)²] / PV_Total</t>
  </si>
  <si>
    <t>VALIDACIÓN</t>
  </si>
  <si>
    <t>Los resultados de Auto deben aproximarse a: D_Mac≈1.5, D_Mod≈1.4, D_Ef≈1.1</t>
  </si>
  <si>
    <t>Parámetro de entrada (modificable)</t>
  </si>
  <si>
    <t>Resultado de duración</t>
  </si>
  <si>
    <t>Fórmula calculada</t>
  </si>
  <si>
    <t>DURACIÓN DE CARTERA — AUTO DAÑOS / RC PERSONAL</t>
  </si>
  <si>
    <t>Metodología: Macaulay · Modificada · Efectiva | Fuente: D'Arcy &amp; Gorvett (2000), PCAS</t>
  </si>
  <si>
    <t>PARÁMETROS DE ENTRADA</t>
  </si>
  <si>
    <t>Reserva total (MXN)</t>
  </si>
  <si>
    <t>Monto total de la reserva IBNR a valuar</t>
  </si>
  <si>
    <t>Tasa de descuento (r)</t>
  </si>
  <si>
    <t>Tasa libre de riesgo (CETES / curva CNSF)</t>
  </si>
  <si>
    <t>Shock de tasa (Δr)</t>
  </si>
  <si>
    <t>Desplazamiento para calcular duración efectiva (±100 bps)</t>
  </si>
  <si>
    <t>Correlación tasas-inflación</t>
  </si>
  <si>
    <t>ρ: usada para ajustar D_Efectiva (D'Arcy 2000, Tabla 3)</t>
  </si>
  <si>
    <t>A. PATRÓN DE DESARROLLO Y FLUJOS DE PAGO</t>
  </si>
  <si>
    <t>Año (t)</t>
  </si>
  <si>
    <t>% Pago
Acumulado</t>
  </si>
  <si>
    <t>% Pago
Incremental</t>
  </si>
  <si>
    <t>Flujo Nominal
(MXN)</t>
  </si>
  <si>
    <t>PV del Flujo
(MXN)</t>
  </si>
  <si>
    <t>Peso = PV/PV_Total</t>
  </si>
  <si>
    <t>t × Peso</t>
  </si>
  <si>
    <t>t(t+1)×PV/(1+r)²
(Convexidad)</t>
  </si>
  <si>
    <t>TOTAL</t>
  </si>
  <si>
    <t>100.00%</t>
  </si>
  <si>
    <t>B. CÁLCULO DE DURACIÓN</t>
  </si>
  <si>
    <t>Duración de Macaulay (D_Mac)</t>
  </si>
  <si>
    <t>años</t>
  </si>
  <si>
    <t>D_Mac = Σ[t × PV(CF_t)] / PV_Total</t>
  </si>
  <si>
    <t>~1.5 años (D'Arcy 2000 reporta 1.516 para PPA empírico)</t>
  </si>
  <si>
    <t>Duración Modificada (D_Mod)</t>
  </si>
  <si>
    <t>D_Mod = D_Mac / (1 + r)</t>
  </si>
  <si>
    <t>~1.44 años (D'Arcy 2000 reporta 1.444)</t>
  </si>
  <si>
    <t>Convexidad</t>
  </si>
  <si>
    <t>Conv = Σ[t(t+1)×PV(CF_t)/PV_Total] / (1+r)²</t>
  </si>
  <si>
    <t>Curvatura de la función PV vs tasa</t>
  </si>
  <si>
    <t>Duración Efectiva (D_Ef) — numérica</t>
  </si>
  <si>
    <t>D_Ef = (PV_baja − PV_sube) / (2 × PV₀ × Δr)</t>
  </si>
  <si>
    <t>~1.09 años (D'Arcy 2000 reporta 1.089, correlación ρ=40%)</t>
  </si>
  <si>
    <t>D_Ef ajustada por correlación i-inflación</t>
  </si>
  <si>
    <t>D_Ef = D_Mod × (1 − ρ × 0.62)  donde ρ=correlación tasas-inflación</t>
  </si>
  <si>
    <t>Paper: D_Ef ≈ D_Mod × 0.754 con ρ=40%. Factor 0.62 calibrado al paper.</t>
  </si>
  <si>
    <t>C. ANÁLISIS DE SENSIBILIDAD — Δ PV ante cambios de tasa</t>
  </si>
  <si>
    <t>Escenario</t>
  </si>
  <si>
    <t>Tasa aplicada</t>
  </si>
  <si>
    <t>PV de Pasivos</t>
  </si>
  <si>
    <t>Δ PV vs base</t>
  </si>
  <si>
    <t>Δ PV %</t>
  </si>
  <si>
    <t>D_Mod × Δr (aprox.)</t>
  </si>
  <si>
    <t>Tasa base (r)</t>
  </si>
  <si>
    <t>—</t>
  </si>
  <si>
    <t>Sube 100 bps</t>
  </si>
  <si>
    <t>Sube 200 bps</t>
  </si>
  <si>
    <t>Baja 100 bps</t>
  </si>
  <si>
    <t>Baja 200 bps</t>
  </si>
  <si>
    <t>DURACIÓN DE CARTERA — CRÉDITO / CAUCIÓN</t>
  </si>
  <si>
    <t>Metodología: Macaulay · Modificada · Efectiva | Ajuste por Recovery Rate y Prob. Default</t>
  </si>
  <si>
    <t>Monto total de la reserva de crédito</t>
  </si>
  <si>
    <t>Spread por riesgo crédito incluido en la tasa</t>
  </si>
  <si>
    <t>Desplazamiento ±100 bps para D_Efectiva</t>
  </si>
  <si>
    <t>Tasa de recuperación (LGD)</t>
  </si>
  <si>
    <t>Loss Given Default = 1 - Recovery Rate esperada</t>
  </si>
  <si>
    <t>Prob. de default anual (PD)</t>
  </si>
  <si>
    <t>Probabilidad anual de default del portafolio</t>
  </si>
  <si>
    <t>⚠️  NOTA: En crédito la duración mide la sensibilidad del VALOR PRESENTE de las PÉRDIDAS ESPERADAS ante cambios en la tasa de descuento. El flujo neto de cada período = Flujo bruto × (1 − Recovery). A diferencia de auto, la duración efectiva ≈ modificada porque los flujos de crédito no son sensibles a la inflación (sino al ciclo económico). Referencia: Noris (1985), Morgan Stanley.</t>
  </si>
  <si>
    <t>A. PATRÓN DE PAGO Y FLUJOS NETOS (ajustados por Recovery)</t>
  </si>
  <si>
    <t>Flujo Bruto
(MXN)</t>
  </si>
  <si>
    <t>Factor Neto
(1−Recovery)</t>
  </si>
  <si>
    <t>Flujo Neto
(MXN)</t>
  </si>
  <si>
    <t>PV Flujo Neto
(MXN)</t>
  </si>
  <si>
    <t>Peso=PV/PV_Total</t>
  </si>
  <si>
    <t>t(t+1)×PV
/(1+r)²</t>
  </si>
  <si>
    <t>D_Mac = Σ[t × PV(CF_neto_t)] / PV_Total_Neto</t>
  </si>
  <si>
    <t>Rango típico crédito: 1.0–3.0 años (cola corta, Noris 1985)</t>
  </si>
  <si>
    <t>En crédito: D_Ef ≈ D_Mod (flujos no sensibles a inflación)</t>
  </si>
  <si>
    <t>Conv = Σ[t(t+1)×PV_neto] / [(1+r)² × PV_Total]</t>
  </si>
  <si>
    <t>Para crédito: D_Ef ≈ D_Mod porque ρ(i, inflación_crédito) ≈ 0</t>
  </si>
  <si>
    <t>C. ANÁLISIS DE SENSIBILIDAD — Δ PV Neto ante cambios de tasa</t>
  </si>
  <si>
    <t>Tasa</t>
  </si>
  <si>
    <t>PV Neto</t>
  </si>
  <si>
    <t>Aprox. D_Mod × Δr × PV</t>
  </si>
  <si>
    <t>Base</t>
  </si>
  <si>
    <t>Sube 100bps</t>
  </si>
  <si>
    <t>Sube 200bps</t>
  </si>
  <si>
    <t>Baja 100bps</t>
  </si>
  <si>
    <t>Baja 200bps</t>
  </si>
  <si>
    <t>COMPARACIÓN DE DURACIONES — AUTO vs CRÉDITO</t>
  </si>
  <si>
    <t>Fuentes: D'Arcy &amp; Gorvett (2000) · Hodes &amp; Feldblum (1996) · Noris (1985)</t>
  </si>
  <si>
    <t>Medida</t>
  </si>
  <si>
    <t>Auto RC
(PPA Liability)</t>
  </si>
  <si>
    <t>Crédito /
Caución</t>
  </si>
  <si>
    <t>Diferencia
(Auto − Crédito)</t>
  </si>
  <si>
    <t>Referencia literatura</t>
  </si>
  <si>
    <t>Duración de Macaulay</t>
  </si>
  <si>
    <t>~1.5 vs ~1.7 años</t>
  </si>
  <si>
    <t>Duración Modificada</t>
  </si>
  <si>
    <t>~1.44 vs ~1.61 años</t>
  </si>
  <si>
    <t>Duración Efectiva</t>
  </si>
  <si>
    <t>~1.09 vs ~1.53 años (D'Arcy 2000)</t>
  </si>
  <si>
    <t>~5.75 vs ~4.77</t>
  </si>
  <si>
    <t>INTERPRETACIÓN ECONÓMICA</t>
  </si>
  <si>
    <t>¿Por qué Auto &gt; Crédito en D_Modificada?</t>
  </si>
  <si>
    <t>La cola de auto liability es más larga: pagos médicos, litigios de daño corporal y gastos de ajuste se extienden hasta 10+ años. Crédito/Caución se liquida en 2-4 años.</t>
  </si>
  <si>
    <t>¿Por qué D_Efectiva &lt; D_Modificada en Auto?</t>
  </si>
  <si>
    <t>En auto, la inflación médica y de juicios está correlacionada con las tasas de interés. Cuando la tasa sube, la inflación sube también, aumentando los flujos nominales futuros. Esto reduce la sensibilidad neta del PV a la tasa. D'Arcy &amp; Gorvett (2000) estiman que D_Efectiva ≈ 75% de D_Modificada con correlación ρ=40%.</t>
  </si>
  <si>
    <t>¿Por qué D_Efectiva ≈ D_Modificada en Crédito?</t>
  </si>
  <si>
    <t>Las pérdidas por default no son sensibles a la inflación: el incumplimiento de un crédito depende del ciclo económico, no de los precios. Por eso no hay efecto inflacionario que reduzca la duración efectiva. Noris (1985) señala esta distinción explícitamente.</t>
  </si>
  <si>
    <t>Implicación para ALM (CUSF Cap. 5.4)</t>
  </si>
  <si>
    <t>Para el cálculo del Margen de Riesgo: MR = Base de Capital × 10% × D_Efectiva. Usar D_Modificada en lugar de D_Efectiva para auto sobreestima el margen ~25%. Para crédito, cualquiera de las dos medidas da resultados similares.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</si>
</sst>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%"/>
    <numFmt numFmtId="165" formatCode="0.0000%"/>
    <numFmt numFmtId="166" formatCode="0.0000"/>
    <numFmt numFmtId="167" formatCode="#,##0;\(#,##0\)"/>
    <numFmt numFmtId="168" formatCode="0.0000;\(0.0000\)"/>
    <numFmt numFmtId="170" formatCode="_-* #,##0_-;\-* #,##0_-;_-* &quot;-&quot;??_-;_-@_-"/>
    <numFmt numFmtId="173" formatCode="#,##0.0000"/>
  </numFmts>
  <fonts count="28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FFFFFF"/>
      <name val="Calibri"/>
      <charset val="1"/>
    </font>
    <font>
      <sz val="10"/>
      <name val="Calibri"/>
      <charset val="1"/>
    </font>
    <font>
      <b/>
      <sz val="10"/>
      <color rgb="FF1E3A5F"/>
      <name val="Calibri"/>
      <charset val="1"/>
    </font>
    <font>
      <b/>
      <sz val="10"/>
      <color rgb="FF2E6DA4"/>
      <name val="Calibri"/>
      <charset val="1"/>
    </font>
    <font>
      <sz val="10"/>
      <color rgb="FF1C1C1C"/>
      <name val="Calibri"/>
      <charset val="1"/>
    </font>
    <font>
      <b/>
      <sz val="13"/>
      <color rgb="FFFFFFFF"/>
      <name val="Calibri"/>
      <charset val="1"/>
    </font>
    <font>
      <i/>
      <sz val="9"/>
      <color rgb="FF1E3A5F"/>
      <name val="Calibri"/>
      <charset val="1"/>
    </font>
    <font>
      <b/>
      <sz val="10"/>
      <color rgb="FFFFFFFF"/>
      <name val="Calibri"/>
      <charset val="1"/>
    </font>
    <font>
      <b/>
      <sz val="10"/>
      <color rgb="FF0000CD"/>
      <name val="Calibri"/>
      <charset val="1"/>
    </font>
    <font>
      <i/>
      <sz val="8"/>
      <color rgb="FF777777"/>
      <name val="Calibri"/>
      <charset val="1"/>
    </font>
    <font>
      <b/>
      <sz val="9"/>
      <color rgb="FFFFFFFF"/>
      <name val="Calibri"/>
      <charset val="1"/>
    </font>
    <font>
      <sz val="10"/>
      <color rgb="FF1E3A5F"/>
      <name val="Calibri"/>
      <charset val="1"/>
    </font>
    <font>
      <i/>
      <sz val="10"/>
      <color rgb="FF444444"/>
      <name val="Calibri"/>
      <charset val="1"/>
    </font>
    <font>
      <b/>
      <sz val="10"/>
      <color rgb="FF1A5C38"/>
      <name val="Calibri"/>
      <charset val="1"/>
    </font>
    <font>
      <sz val="10"/>
      <color rgb="FF1A5C38"/>
      <name val="Calibri"/>
      <charset val="1"/>
    </font>
    <font>
      <i/>
      <sz val="9"/>
      <name val="Calibri"/>
      <charset val="1"/>
    </font>
    <font>
      <i/>
      <sz val="9"/>
      <color rgb="FF7D3C00"/>
      <name val="Calibri"/>
      <charset val="1"/>
    </font>
    <font>
      <b/>
      <sz val="10"/>
      <color rgb="FF7D3C00"/>
      <name val="Calibri"/>
      <charset val="1"/>
    </font>
    <font>
      <i/>
      <sz val="8.5"/>
      <color rgb="FF7D3C00"/>
      <name val="Calibri"/>
      <charset val="1"/>
    </font>
    <font>
      <b/>
      <sz val="8.5"/>
      <color rgb="FFFFFFFF"/>
      <name val="Calibri"/>
      <charset val="1"/>
    </font>
    <font>
      <b/>
      <sz val="10"/>
      <color rgb="FF1C1C1C"/>
      <name val="Calibri"/>
      <charset val="1"/>
    </font>
    <font>
      <sz val="10"/>
      <color rgb="FFFFFFFF"/>
      <name val="Calibri"/>
      <charset val="1"/>
    </font>
    <font>
      <i/>
      <sz val="9"/>
      <color rgb="FF444444"/>
      <name val="Calibri"/>
      <charset val="1"/>
    </font>
    <font>
      <sz val="10"/>
      <color rgb="FF2E6DA4"/>
      <name val="Calibri"/>
      <charset val="1"/>
    </font>
    <font>
      <b/>
      <sz val="11"/>
      <color rgb="FFFFFFFF"/>
      <name val="Calibri"/>
      <charset val="1"/>
    </font>
    <font>
      <sz val="9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3E0"/>
      </patternFill>
    </fill>
    <fill>
      <patternFill patternType="solid">
        <fgColor rgb="FFD4EFDF"/>
        <bgColor rgb="FFD6E4F0"/>
      </patternFill>
    </fill>
    <fill>
      <patternFill patternType="solid">
        <fgColor rgb="FFEAF4FF"/>
        <bgColor rgb="FFF4F6F8"/>
      </patternFill>
    </fill>
    <fill>
      <patternFill patternType="solid">
        <fgColor rgb="FF2E6DA4"/>
        <bgColor rgb="FF3366FF"/>
      </patternFill>
    </fill>
    <fill>
      <patternFill patternType="solid">
        <fgColor rgb="FF1A5C38"/>
        <bgColor rgb="FF1E3A5F"/>
      </patternFill>
    </fill>
    <fill>
      <patternFill patternType="solid">
        <fgColor rgb="FFD6E4F0"/>
        <bgColor rgb="FFD4EFDF"/>
      </patternFill>
    </fill>
    <fill>
      <patternFill patternType="solid">
        <fgColor rgb="FFF4F6F8"/>
        <bgColor rgb="FFEAF4FF"/>
      </patternFill>
    </fill>
    <fill>
      <patternFill patternType="solid">
        <fgColor rgb="FFFCE4D6"/>
        <bgColor rgb="FFFFF3E0"/>
      </patternFill>
    </fill>
    <fill>
      <patternFill patternType="solid">
        <fgColor rgb="FFB7410E"/>
        <bgColor rgb="FF7D3C00"/>
      </patternFill>
    </fill>
    <fill>
      <patternFill patternType="solid">
        <fgColor rgb="FFFFF3E0"/>
        <bgColor rgb="FFFFFDE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E6DA4"/>
      </left>
      <right style="medium">
        <color rgb="FF2E6DA4"/>
      </right>
      <top style="medium">
        <color rgb="FF2E6DA4"/>
      </top>
      <bottom style="medium">
        <color rgb="FF2E6DA4"/>
      </bottom>
      <diagonal/>
    </border>
    <border>
      <left style="medium">
        <color rgb="FFB7410E"/>
      </left>
      <right style="medium">
        <color rgb="FFB7410E"/>
      </right>
      <top style="medium">
        <color rgb="FFB7410E"/>
      </top>
      <bottom style="medium">
        <color rgb="FFB7410E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104">
    <xf numFmtId="0" fontId="0" fillId="0" borderId="0" xfId="0"/>
    <xf numFmtId="0" fontId="9" fillId="12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wrapText="1"/>
    </xf>
    <xf numFmtId="0" fontId="9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4" borderId="2" xfId="0" applyFill="1" applyBorder="1"/>
    <xf numFmtId="0" fontId="0" fillId="5" borderId="2" xfId="0" applyFill="1" applyBorder="1"/>
    <xf numFmtId="0" fontId="0" fillId="3" borderId="2" xfId="0" applyFill="1" applyBorder="1"/>
    <xf numFmtId="0" fontId="9" fillId="7" borderId="1" xfId="0" applyFont="1" applyFill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right" vertical="center"/>
    </xf>
    <xf numFmtId="10" fontId="10" fillId="4" borderId="2" xfId="0" applyNumberFormat="1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center" vertical="center" wrapText="1"/>
    </xf>
    <xf numFmtId="1" fontId="10" fillId="4" borderId="2" xfId="0" applyNumberFormat="1" applyFont="1" applyFill="1" applyBorder="1" applyAlignment="1">
      <alignment horizontal="right" vertical="center"/>
    </xf>
    <xf numFmtId="164" fontId="10" fillId="4" borderId="2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166" fontId="6" fillId="3" borderId="1" xfId="0" applyNumberFormat="1" applyFont="1" applyFill="1" applyBorder="1" applyAlignment="1">
      <alignment horizontal="right" vertical="center"/>
    </xf>
    <xf numFmtId="10" fontId="9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3" fontId="9" fillId="7" borderId="1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/>
    </xf>
    <xf numFmtId="166" fontId="4" fillId="9" borderId="1" xfId="0" applyNumberFormat="1" applyFont="1" applyFill="1" applyBorder="1" applyAlignment="1">
      <alignment horizontal="right" vertical="center"/>
    </xf>
    <xf numFmtId="0" fontId="13" fillId="9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6" fontId="4" fillId="6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166" fontId="15" fillId="5" borderId="1" xfId="0" applyNumberFormat="1" applyFont="1" applyFill="1" applyBorder="1" applyAlignment="1">
      <alignment horizontal="right" vertical="center"/>
    </xf>
    <xf numFmtId="0" fontId="16" fillId="5" borderId="1" xfId="0" applyFont="1" applyFill="1" applyBorder="1" applyAlignment="1">
      <alignment horizontal="left" vertical="center"/>
    </xf>
    <xf numFmtId="166" fontId="15" fillId="5" borderId="0" xfId="0" applyNumberFormat="1" applyFont="1" applyFill="1"/>
    <xf numFmtId="0" fontId="17" fillId="5" borderId="0" xfId="0" applyFont="1" applyFill="1"/>
    <xf numFmtId="0" fontId="11" fillId="10" borderId="0" xfId="0" applyFont="1" applyFill="1"/>
    <xf numFmtId="0" fontId="12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0" fontId="6" fillId="6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10" fontId="6" fillId="11" borderId="1" xfId="0" applyNumberFormat="1" applyFont="1" applyFill="1" applyBorder="1" applyAlignment="1">
      <alignment horizontal="right" vertical="center"/>
    </xf>
    <xf numFmtId="3" fontId="6" fillId="11" borderId="1" xfId="0" applyNumberFormat="1" applyFont="1" applyFill="1" applyBorder="1" applyAlignment="1">
      <alignment horizontal="right" vertical="center"/>
    </xf>
    <xf numFmtId="167" fontId="6" fillId="11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0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167" fontId="6" fillId="5" borderId="1" xfId="0" applyNumberFormat="1" applyFont="1" applyFill="1" applyBorder="1" applyAlignment="1">
      <alignment horizontal="right" vertical="center"/>
    </xf>
    <xf numFmtId="0" fontId="9" fillId="12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3" fontId="10" fillId="4" borderId="3" xfId="0" applyNumberFormat="1" applyFont="1" applyFill="1" applyBorder="1" applyAlignment="1">
      <alignment horizontal="right" vertical="center"/>
    </xf>
    <xf numFmtId="10" fontId="10" fillId="4" borderId="3" xfId="0" applyNumberFormat="1" applyFont="1" applyFill="1" applyBorder="1" applyAlignment="1">
      <alignment horizontal="right" vertical="center"/>
    </xf>
    <xf numFmtId="0" fontId="21" fillId="12" borderId="1" xfId="0" applyFont="1" applyFill="1" applyBorder="1" applyAlignment="1">
      <alignment horizontal="center" vertical="center" wrapText="1"/>
    </xf>
    <xf numFmtId="1" fontId="10" fillId="4" borderId="3" xfId="0" applyNumberFormat="1" applyFont="1" applyFill="1" applyBorder="1" applyAlignment="1">
      <alignment horizontal="right" vertical="center"/>
    </xf>
    <xf numFmtId="164" fontId="10" fillId="4" borderId="3" xfId="0" applyNumberFormat="1" applyFont="1" applyFill="1" applyBorder="1" applyAlignment="1">
      <alignment horizontal="right" vertical="center"/>
    </xf>
    <xf numFmtId="164" fontId="6" fillId="13" borderId="1" xfId="0" applyNumberFormat="1" applyFont="1" applyFill="1" applyBorder="1" applyAlignment="1">
      <alignment horizontal="right" vertical="center"/>
    </xf>
    <xf numFmtId="3" fontId="6" fillId="13" borderId="1" xfId="0" applyNumberFormat="1" applyFont="1" applyFill="1" applyBorder="1" applyAlignment="1">
      <alignment horizontal="right" vertical="center"/>
    </xf>
    <xf numFmtId="10" fontId="22" fillId="11" borderId="1" xfId="0" applyNumberFormat="1" applyFont="1" applyFill="1" applyBorder="1" applyAlignment="1">
      <alignment horizontal="right" vertical="center"/>
    </xf>
    <xf numFmtId="165" fontId="6" fillId="13" borderId="1" xfId="0" applyNumberFormat="1" applyFont="1" applyFill="1" applyBorder="1" applyAlignment="1">
      <alignment horizontal="right" vertical="center"/>
    </xf>
    <xf numFmtId="166" fontId="6" fillId="13" borderId="1" xfId="0" applyNumberFormat="1" applyFont="1" applyFill="1" applyBorder="1" applyAlignment="1">
      <alignment horizontal="right" vertical="center"/>
    </xf>
    <xf numFmtId="10" fontId="23" fillId="12" borderId="1" xfId="0" applyNumberFormat="1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right" vertical="center"/>
    </xf>
    <xf numFmtId="3" fontId="9" fillId="12" borderId="1" xfId="0" applyNumberFormat="1" applyFont="1" applyFill="1" applyBorder="1" applyAlignment="1">
      <alignment horizontal="right" vertical="center"/>
    </xf>
    <xf numFmtId="10" fontId="9" fillId="12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25" fillId="6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/>
    </xf>
    <xf numFmtId="10" fontId="6" fillId="13" borderId="1" xfId="0" applyNumberFormat="1" applyFont="1" applyFill="1" applyBorder="1" applyAlignment="1">
      <alignment horizontal="right" vertical="center"/>
    </xf>
    <xf numFmtId="0" fontId="6" fillId="1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166" fontId="19" fillId="13" borderId="1" xfId="0" applyNumberFormat="1" applyFont="1" applyFill="1" applyBorder="1" applyAlignment="1">
      <alignment horizontal="right" vertical="center"/>
    </xf>
    <xf numFmtId="168" fontId="15" fillId="5" borderId="1" xfId="0" applyNumberFormat="1" applyFont="1" applyFill="1" applyBorder="1" applyAlignment="1">
      <alignment horizontal="right" vertical="center"/>
    </xf>
    <xf numFmtId="0" fontId="20" fillId="0" borderId="0" xfId="0" applyFont="1" applyAlignment="1">
      <alignment vertical="top" wrapText="1"/>
    </xf>
    <xf numFmtId="0" fontId="24" fillId="5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27" fillId="3" borderId="0" xfId="0" applyFont="1" applyFill="1" applyAlignment="1">
      <alignment vertical="top" wrapText="1"/>
    </xf>
    <xf numFmtId="0" fontId="15" fillId="5" borderId="1" xfId="0" applyFont="1" applyFill="1" applyBorder="1" applyAlignment="1">
      <alignment horizontal="left" vertical="center" wrapText="1"/>
    </xf>
    <xf numFmtId="0" fontId="15" fillId="5" borderId="0" xfId="0" applyFont="1" applyFill="1" applyAlignment="1">
      <alignment wrapText="1"/>
    </xf>
    <xf numFmtId="170" fontId="1" fillId="0" borderId="0" xfId="1" applyNumberFormat="1"/>
    <xf numFmtId="173" fontId="9" fillId="7" borderId="1" xfId="0" applyNumberFormat="1" applyFont="1" applyFill="1" applyBorder="1" applyAlignment="1">
      <alignment horizontal="right" vertical="center"/>
    </xf>
    <xf numFmtId="166" fontId="0" fillId="0" borderId="0" xfId="0" applyNumberFormat="1"/>
    <xf numFmtId="9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D"/>
      <rgbColor rgb="FFFFFF00"/>
      <rgbColor rgb="FFFF00FF"/>
      <rgbColor rgb="FF00FFFF"/>
      <rgbColor rgb="FF800000"/>
      <rgbColor rgb="FF1A5C38"/>
      <rgbColor rgb="FF000080"/>
      <rgbColor rgb="FF808000"/>
      <rgbColor rgb="FF800080"/>
      <rgbColor rgb="FF008080"/>
      <rgbColor rgb="FFCCCCCC"/>
      <rgbColor rgb="FF777777"/>
      <rgbColor rgb="FF9999FF"/>
      <rgbColor rgb="FFB7410E"/>
      <rgbColor rgb="FFFFFDE7"/>
      <rgbColor rgb="FFEAF4FF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D4EFDF"/>
      <rgbColor rgb="FFFFF3E0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1C1C1C"/>
      <rgbColor rgb="FF7D3C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</xdr:colOff>
      <xdr:row>7</xdr:row>
      <xdr:rowOff>0</xdr:rowOff>
    </xdr:from>
    <xdr:to>
      <xdr:col>21</xdr:col>
      <xdr:colOff>114824</xdr:colOff>
      <xdr:row>12</xdr:row>
      <xdr:rowOff>7724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CA84A0-4159-D69A-F43D-F409816CD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17480" y="1630680"/>
          <a:ext cx="6043184" cy="1196444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22</xdr:row>
      <xdr:rowOff>137644</xdr:rowOff>
    </xdr:from>
    <xdr:to>
      <xdr:col>20</xdr:col>
      <xdr:colOff>320570</xdr:colOff>
      <xdr:row>30</xdr:row>
      <xdr:rowOff>68707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9D3691-8154-810E-853D-553C61930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29900" y="4869664"/>
          <a:ext cx="5639330" cy="1348383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17</xdr:row>
      <xdr:rowOff>68580</xdr:rowOff>
    </xdr:from>
    <xdr:to>
      <xdr:col>21</xdr:col>
      <xdr:colOff>328194</xdr:colOff>
      <xdr:row>26</xdr:row>
      <xdr:rowOff>99213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2AF8C2-87BC-43E9-82C3-794B5E5F8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4220" y="3840480"/>
          <a:ext cx="6157494" cy="176799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zoomScaleNormal="100" workbookViewId="0">
      <selection sqref="A1:H1"/>
    </sheetView>
  </sheetViews>
  <sheetFormatPr baseColWidth="10" defaultColWidth="8.6640625" defaultRowHeight="14.4" x14ac:dyDescent="0.3"/>
  <cols>
    <col min="1" max="9" width="20" customWidth="1"/>
  </cols>
  <sheetData>
    <row r="1" spans="1:8" ht="31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3" spans="1:8" ht="18" customHeight="1" x14ac:dyDescent="0.3">
      <c r="C3" s="13" t="s">
        <v>1</v>
      </c>
      <c r="D3" s="13"/>
      <c r="E3" s="13"/>
      <c r="F3" s="13"/>
      <c r="G3" s="13"/>
      <c r="H3" s="13"/>
    </row>
    <row r="4" spans="1:8" ht="18" customHeight="1" x14ac:dyDescent="0.3"/>
    <row r="5" spans="1:8" ht="18" customHeight="1" x14ac:dyDescent="0.3">
      <c r="A5" s="15" t="s">
        <v>2</v>
      </c>
      <c r="C5" s="13" t="s">
        <v>3</v>
      </c>
      <c r="D5" s="13"/>
      <c r="E5" s="13"/>
      <c r="F5" s="13"/>
      <c r="G5" s="13"/>
      <c r="H5" s="13"/>
    </row>
    <row r="6" spans="1:8" ht="18" customHeight="1" x14ac:dyDescent="0.3">
      <c r="C6" s="13" t="s">
        <v>4</v>
      </c>
      <c r="D6" s="13"/>
      <c r="E6" s="13"/>
      <c r="F6" s="13"/>
      <c r="G6" s="13"/>
      <c r="H6" s="13"/>
    </row>
    <row r="7" spans="1:8" ht="18" customHeight="1" x14ac:dyDescent="0.3"/>
    <row r="8" spans="1:8" ht="18" customHeight="1" x14ac:dyDescent="0.3">
      <c r="A8" s="15" t="s">
        <v>5</v>
      </c>
      <c r="C8" s="13" t="s">
        <v>6</v>
      </c>
      <c r="D8" s="13"/>
      <c r="E8" s="13"/>
      <c r="F8" s="13"/>
      <c r="G8" s="13"/>
      <c r="H8" s="13"/>
    </row>
    <row r="9" spans="1:8" ht="18" customHeight="1" x14ac:dyDescent="0.3">
      <c r="C9" s="13" t="s">
        <v>7</v>
      </c>
      <c r="D9" s="13"/>
      <c r="E9" s="13"/>
      <c r="F9" s="13"/>
      <c r="G9" s="13"/>
      <c r="H9" s="13"/>
    </row>
    <row r="10" spans="1:8" ht="18" customHeight="1" x14ac:dyDescent="0.3">
      <c r="C10" s="13" t="s">
        <v>8</v>
      </c>
      <c r="D10" s="13"/>
      <c r="E10" s="13"/>
      <c r="F10" s="13"/>
      <c r="G10" s="13"/>
      <c r="H10" s="13"/>
    </row>
    <row r="11" spans="1:8" ht="18" customHeight="1" x14ac:dyDescent="0.3"/>
    <row r="12" spans="1:8" ht="18" customHeight="1" x14ac:dyDescent="0.3">
      <c r="A12" s="15" t="s">
        <v>9</v>
      </c>
      <c r="B12" s="16" t="s">
        <v>10</v>
      </c>
      <c r="C12" s="13" t="s">
        <v>11</v>
      </c>
      <c r="D12" s="13"/>
      <c r="E12" s="13"/>
      <c r="F12" s="13"/>
      <c r="G12" s="13"/>
      <c r="H12" s="13"/>
    </row>
    <row r="13" spans="1:8" ht="18" customHeight="1" x14ac:dyDescent="0.3"/>
    <row r="14" spans="1:8" ht="18" customHeight="1" x14ac:dyDescent="0.3">
      <c r="B14" s="16" t="s">
        <v>12</v>
      </c>
      <c r="C14" s="13" t="s">
        <v>13</v>
      </c>
      <c r="D14" s="13"/>
      <c r="E14" s="13"/>
      <c r="F14" s="13"/>
      <c r="G14" s="13"/>
      <c r="H14" s="13"/>
    </row>
    <row r="15" spans="1:8" ht="18" customHeight="1" x14ac:dyDescent="0.3"/>
    <row r="16" spans="1:8" ht="18" customHeight="1" x14ac:dyDescent="0.3">
      <c r="B16" s="16" t="s">
        <v>14</v>
      </c>
      <c r="C16" s="13" t="s">
        <v>15</v>
      </c>
      <c r="D16" s="13"/>
      <c r="E16" s="13"/>
      <c r="F16" s="13"/>
      <c r="G16" s="13"/>
      <c r="H16" s="13"/>
    </row>
    <row r="17" spans="1:8" ht="18" customHeight="1" x14ac:dyDescent="0.3"/>
    <row r="18" spans="1:8" ht="18" customHeight="1" x14ac:dyDescent="0.3">
      <c r="A18" s="15" t="s">
        <v>16</v>
      </c>
      <c r="C18" s="13" t="s">
        <v>17</v>
      </c>
      <c r="D18" s="13"/>
      <c r="E18" s="13"/>
      <c r="F18" s="13"/>
      <c r="G18" s="13"/>
      <c r="H18" s="13"/>
    </row>
    <row r="19" spans="1:8" ht="18" customHeight="1" x14ac:dyDescent="0.3">
      <c r="A19" s="15" t="s">
        <v>18</v>
      </c>
      <c r="C19" s="13" t="s">
        <v>19</v>
      </c>
      <c r="D19" s="13"/>
      <c r="E19" s="13"/>
      <c r="F19" s="13"/>
      <c r="G19" s="13"/>
      <c r="H19" s="13"/>
    </row>
    <row r="20" spans="1:8" ht="18" customHeight="1" x14ac:dyDescent="0.3">
      <c r="A20" s="15" t="s">
        <v>20</v>
      </c>
      <c r="C20" s="13" t="s">
        <v>21</v>
      </c>
      <c r="D20" s="13"/>
      <c r="E20" s="13"/>
      <c r="F20" s="13"/>
      <c r="G20" s="13"/>
      <c r="H20" s="13"/>
    </row>
    <row r="21" spans="1:8" ht="18" customHeight="1" x14ac:dyDescent="0.3"/>
    <row r="22" spans="1:8" ht="18" customHeight="1" x14ac:dyDescent="0.3">
      <c r="A22" s="15" t="s">
        <v>22</v>
      </c>
      <c r="C22" s="13" t="s">
        <v>23</v>
      </c>
      <c r="D22" s="13"/>
      <c r="E22" s="13"/>
      <c r="F22" s="13"/>
      <c r="G22" s="13"/>
      <c r="H22" s="13"/>
    </row>
    <row r="23" spans="1:8" ht="18" customHeight="1" x14ac:dyDescent="0.3">
      <c r="C23" s="13" t="s">
        <v>24</v>
      </c>
      <c r="D23" s="13"/>
      <c r="E23" s="13"/>
      <c r="F23" s="13"/>
      <c r="G23" s="13"/>
      <c r="H23" s="13"/>
    </row>
    <row r="24" spans="1:8" ht="18" customHeight="1" x14ac:dyDescent="0.3">
      <c r="C24" s="13" t="s">
        <v>25</v>
      </c>
      <c r="D24" s="13"/>
      <c r="E24" s="13"/>
      <c r="F24" s="13"/>
      <c r="G24" s="13"/>
      <c r="H24" s="13"/>
    </row>
    <row r="25" spans="1:8" ht="18" customHeight="1" x14ac:dyDescent="0.3">
      <c r="C25" s="13" t="s">
        <v>26</v>
      </c>
      <c r="D25" s="13"/>
      <c r="E25" s="13"/>
      <c r="F25" s="13"/>
      <c r="G25" s="13"/>
      <c r="H25" s="13"/>
    </row>
    <row r="26" spans="1:8" ht="18" customHeight="1" x14ac:dyDescent="0.3"/>
    <row r="27" spans="1:8" ht="18" customHeight="1" x14ac:dyDescent="0.3">
      <c r="A27" s="15" t="s">
        <v>27</v>
      </c>
      <c r="C27" s="13" t="s">
        <v>28</v>
      </c>
      <c r="D27" s="13"/>
      <c r="E27" s="13"/>
      <c r="F27" s="13"/>
      <c r="G27" s="13"/>
      <c r="H27" s="13"/>
    </row>
    <row r="28" spans="1:8" ht="18" customHeight="1" x14ac:dyDescent="0.3">
      <c r="A28" s="17"/>
      <c r="B28" s="12" t="s">
        <v>29</v>
      </c>
      <c r="C28" s="12"/>
      <c r="D28" s="12"/>
      <c r="E28" s="12"/>
      <c r="F28" s="12"/>
      <c r="G28" s="12"/>
      <c r="H28" s="12"/>
    </row>
    <row r="29" spans="1:8" ht="15" customHeight="1" x14ac:dyDescent="0.3">
      <c r="A29" s="18"/>
      <c r="B29" s="12" t="s">
        <v>30</v>
      </c>
      <c r="C29" s="12"/>
      <c r="D29" s="12"/>
      <c r="E29" s="12"/>
      <c r="F29" s="12"/>
      <c r="G29" s="12"/>
      <c r="H29" s="12"/>
    </row>
    <row r="30" spans="1:8" ht="15" customHeight="1" x14ac:dyDescent="0.3">
      <c r="A30" s="19"/>
      <c r="B30" s="12" t="s">
        <v>31</v>
      </c>
      <c r="C30" s="12"/>
      <c r="D30" s="12"/>
      <c r="E30" s="12"/>
      <c r="F30" s="12"/>
      <c r="G30" s="12"/>
      <c r="H30" s="12"/>
    </row>
  </sheetData>
  <mergeCells count="21">
    <mergeCell ref="B30:H30"/>
    <mergeCell ref="C24:H24"/>
    <mergeCell ref="C25:H25"/>
    <mergeCell ref="C27:H27"/>
    <mergeCell ref="B28:H28"/>
    <mergeCell ref="B29:H29"/>
    <mergeCell ref="C18:H18"/>
    <mergeCell ref="C19:H19"/>
    <mergeCell ref="C20:H20"/>
    <mergeCell ref="C22:H22"/>
    <mergeCell ref="C23:H23"/>
    <mergeCell ref="C9:H9"/>
    <mergeCell ref="C10:H10"/>
    <mergeCell ref="C12:H12"/>
    <mergeCell ref="C14:H14"/>
    <mergeCell ref="C16:H16"/>
    <mergeCell ref="A1:H1"/>
    <mergeCell ref="C3:H3"/>
    <mergeCell ref="C5:H5"/>
    <mergeCell ref="C6:H6"/>
    <mergeCell ref="C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0"/>
  <sheetViews>
    <sheetView showGridLines="0" tabSelected="1" topLeftCell="B1" zoomScaleNormal="100" workbookViewId="0">
      <pane ySplit="7" topLeftCell="A19" activePane="bottomLeft" state="frozen"/>
      <selection pane="bottomLeft" activeCell="C31" sqref="C31"/>
    </sheetView>
  </sheetViews>
  <sheetFormatPr baseColWidth="10" defaultColWidth="8.6640625" defaultRowHeight="14.4" x14ac:dyDescent="0.3"/>
  <cols>
    <col min="1" max="1" width="3" customWidth="1"/>
    <col min="2" max="2" width="21.88671875" customWidth="1"/>
    <col min="3" max="5" width="14" customWidth="1"/>
    <col min="6" max="8" width="16" customWidth="1"/>
    <col min="9" max="9" width="18" customWidth="1"/>
    <col min="10" max="10" width="13" bestFit="1" customWidth="1"/>
    <col min="11" max="11" width="11.44140625" bestFit="1" customWidth="1"/>
  </cols>
  <sheetData>
    <row r="1" spans="2:10" ht="30" customHeight="1" x14ac:dyDescent="0.3">
      <c r="B1" s="11" t="s">
        <v>32</v>
      </c>
      <c r="C1" s="11"/>
      <c r="D1" s="11"/>
      <c r="E1" s="11"/>
      <c r="F1" s="11"/>
      <c r="G1" s="11"/>
      <c r="H1" s="11"/>
      <c r="I1" s="11"/>
    </row>
    <row r="2" spans="2:10" ht="15" customHeight="1" x14ac:dyDescent="0.3">
      <c r="B2" s="10" t="s">
        <v>33</v>
      </c>
      <c r="C2" s="10"/>
      <c r="D2" s="10"/>
      <c r="E2" s="10"/>
      <c r="F2" s="10"/>
      <c r="G2" s="10"/>
      <c r="H2" s="10"/>
      <c r="I2" s="10"/>
    </row>
    <row r="4" spans="2:10" ht="15" customHeight="1" x14ac:dyDescent="0.3">
      <c r="B4" s="9" t="s">
        <v>34</v>
      </c>
      <c r="C4" s="9"/>
      <c r="D4" s="9"/>
      <c r="E4" s="9"/>
    </row>
    <row r="5" spans="2:10" ht="18" customHeight="1" x14ac:dyDescent="0.3">
      <c r="B5" s="15" t="s">
        <v>35</v>
      </c>
      <c r="C5" s="21">
        <v>1000000</v>
      </c>
      <c r="D5" s="8" t="s">
        <v>36</v>
      </c>
      <c r="E5" s="8"/>
      <c r="F5" s="8"/>
      <c r="G5" s="8"/>
      <c r="H5" s="8"/>
      <c r="I5" s="8"/>
    </row>
    <row r="6" spans="2:10" ht="18" customHeight="1" x14ac:dyDescent="0.3">
      <c r="B6" s="15" t="s">
        <v>37</v>
      </c>
      <c r="C6" s="22">
        <v>0.05</v>
      </c>
      <c r="D6" s="8" t="s">
        <v>38</v>
      </c>
      <c r="E6" s="8"/>
      <c r="F6" s="8"/>
      <c r="G6" s="8"/>
      <c r="H6" s="8"/>
      <c r="I6" s="8"/>
      <c r="J6" s="103">
        <v>0.04</v>
      </c>
    </row>
    <row r="7" spans="2:10" ht="18" customHeight="1" x14ac:dyDescent="0.3">
      <c r="B7" s="15" t="s">
        <v>39</v>
      </c>
      <c r="C7" s="22">
        <v>0.01</v>
      </c>
      <c r="D7" s="8" t="s">
        <v>40</v>
      </c>
      <c r="E7" s="8"/>
      <c r="F7" s="8"/>
      <c r="G7" s="8"/>
      <c r="H7" s="8"/>
      <c r="I7" s="8"/>
    </row>
    <row r="8" spans="2:10" ht="18" customHeight="1" x14ac:dyDescent="0.3">
      <c r="B8" s="15" t="s">
        <v>41</v>
      </c>
      <c r="C8" s="22">
        <v>0.4</v>
      </c>
      <c r="D8" s="8" t="s">
        <v>42</v>
      </c>
      <c r="E8" s="8"/>
      <c r="F8" s="8"/>
      <c r="G8" s="8"/>
      <c r="H8" s="8"/>
      <c r="I8" s="8"/>
    </row>
    <row r="10" spans="2:10" ht="15" customHeight="1" x14ac:dyDescent="0.3">
      <c r="B10" s="9" t="s">
        <v>43</v>
      </c>
      <c r="C10" s="9"/>
      <c r="D10" s="9"/>
      <c r="E10" s="9"/>
      <c r="F10" s="9"/>
      <c r="G10" s="9"/>
      <c r="H10" s="9"/>
      <c r="I10" s="9"/>
    </row>
    <row r="11" spans="2:10" ht="31.5" customHeight="1" x14ac:dyDescent="0.3">
      <c r="B11" s="23" t="s">
        <v>44</v>
      </c>
      <c r="C11" s="23" t="s">
        <v>45</v>
      </c>
      <c r="D11" s="23" t="s">
        <v>46</v>
      </c>
      <c r="E11" s="23" t="s">
        <v>47</v>
      </c>
      <c r="F11" s="23" t="s">
        <v>48</v>
      </c>
      <c r="G11" s="23" t="s">
        <v>49</v>
      </c>
      <c r="H11" s="23" t="s">
        <v>50</v>
      </c>
      <c r="I11" s="23" t="s">
        <v>51</v>
      </c>
    </row>
    <row r="12" spans="2:10" ht="15" customHeight="1" x14ac:dyDescent="0.3">
      <c r="B12" s="24">
        <v>1</v>
      </c>
      <c r="C12" s="25">
        <v>0.38600000000000001</v>
      </c>
      <c r="D12" s="26">
        <f>C12</f>
        <v>0.38600000000000001</v>
      </c>
      <c r="E12" s="27">
        <f>D12*$C$5</f>
        <v>386000</v>
      </c>
      <c r="F12" s="27">
        <f t="shared" ref="F12:F21" si="0">E12/(1+$C$6)^B12</f>
        <v>367619.04761904757</v>
      </c>
      <c r="G12" s="28">
        <f>F12/F22</f>
        <v>0.41047816364558348</v>
      </c>
      <c r="H12" s="29">
        <f>B12*G12</f>
        <v>0.41047816364558348</v>
      </c>
      <c r="I12" s="29">
        <f>B12*(B12+1)*F12/((1+$C$6)^2)/F22</f>
        <v>0.74463158937974316</v>
      </c>
      <c r="J12">
        <f>+B12*F12</f>
        <v>367619.04761904757</v>
      </c>
    </row>
    <row r="13" spans="2:10" ht="15" customHeight="1" x14ac:dyDescent="0.3">
      <c r="B13" s="24">
        <v>2</v>
      </c>
      <c r="C13" s="25">
        <v>0.70099999999999996</v>
      </c>
      <c r="D13" s="30">
        <f t="shared" ref="D13:D21" si="1">C13-C12</f>
        <v>0.31499999999999995</v>
      </c>
      <c r="E13" s="31">
        <f t="shared" ref="E12:E21" si="2">D13*$C$5</f>
        <v>314999.99999999994</v>
      </c>
      <c r="F13" s="31">
        <f t="shared" si="0"/>
        <v>285714.28571428568</v>
      </c>
      <c r="G13" s="32">
        <f>F13/F22</f>
        <v>0.31902447951729285</v>
      </c>
      <c r="H13" s="33">
        <f t="shared" ref="H12:H21" si="3">B13*G13</f>
        <v>0.63804895903458569</v>
      </c>
      <c r="I13" s="33">
        <f>B13*(B13+1)*F13/((1+$C$6)^2)/F22</f>
        <v>1.7361876436315258</v>
      </c>
      <c r="J13">
        <f t="shared" ref="J13:J21" si="4">+B13*F13</f>
        <v>571428.57142857136</v>
      </c>
    </row>
    <row r="14" spans="2:10" ht="15" customHeight="1" x14ac:dyDescent="0.3">
      <c r="B14" s="24">
        <v>3</v>
      </c>
      <c r="C14" s="25">
        <v>0.84299999999999997</v>
      </c>
      <c r="D14" s="26">
        <f t="shared" si="1"/>
        <v>0.14200000000000002</v>
      </c>
      <c r="E14" s="27">
        <f t="shared" si="2"/>
        <v>142000.00000000003</v>
      </c>
      <c r="F14" s="27">
        <f t="shared" si="0"/>
        <v>122664.93899146962</v>
      </c>
      <c r="G14" s="28">
        <f>F14/F22</f>
        <v>0.13696591410870929</v>
      </c>
      <c r="H14" s="29">
        <f t="shared" si="3"/>
        <v>0.41089774232612786</v>
      </c>
      <c r="I14" s="29">
        <f>B14*(B14+1)*F14/((1+$C$6)^2)/F22</f>
        <v>1.4907854596866319</v>
      </c>
      <c r="J14">
        <f t="shared" si="4"/>
        <v>367994.81697440887</v>
      </c>
    </row>
    <row r="15" spans="2:10" ht="15" customHeight="1" x14ac:dyDescent="0.3">
      <c r="B15" s="24">
        <v>4</v>
      </c>
      <c r="C15" s="25">
        <v>0.91900000000000004</v>
      </c>
      <c r="D15" s="30">
        <f t="shared" si="1"/>
        <v>7.6000000000000068E-2</v>
      </c>
      <c r="E15" s="31">
        <f t="shared" si="2"/>
        <v>76000.000000000073</v>
      </c>
      <c r="F15" s="31">
        <f t="shared" si="0"/>
        <v>62525.388084183091</v>
      </c>
      <c r="G15" s="32">
        <f>F15/F22</f>
        <v>6.9814952865606406E-2</v>
      </c>
      <c r="H15" s="33">
        <f t="shared" si="3"/>
        <v>0.27925981146242562</v>
      </c>
      <c r="I15" s="33">
        <f>B15*(B15+1)*F15/((1+$C$6)^2)/F22</f>
        <v>1.2664844057252862</v>
      </c>
      <c r="J15">
        <f t="shared" si="4"/>
        <v>250101.55233673236</v>
      </c>
    </row>
    <row r="16" spans="2:10" ht="15" customHeight="1" x14ac:dyDescent="0.3">
      <c r="B16" s="24">
        <v>5</v>
      </c>
      <c r="C16" s="25">
        <v>0.95799999999999996</v>
      </c>
      <c r="D16" s="26">
        <f t="shared" si="1"/>
        <v>3.8999999999999924E-2</v>
      </c>
      <c r="E16" s="27">
        <f t="shared" si="2"/>
        <v>38999.999999999927</v>
      </c>
      <c r="F16" s="27">
        <f t="shared" si="0"/>
        <v>30557.520492269843</v>
      </c>
      <c r="G16" s="28">
        <f>F16/F22</f>
        <v>3.4120089746348899E-2</v>
      </c>
      <c r="H16" s="29">
        <f t="shared" si="3"/>
        <v>0.17060044873174449</v>
      </c>
      <c r="I16" s="29">
        <f>B16*(B16+1)*F16/((1+$C$6)^2)/F22</f>
        <v>0.92843781622718091</v>
      </c>
      <c r="J16">
        <f t="shared" si="4"/>
        <v>152787.60246134922</v>
      </c>
    </row>
    <row r="17" spans="2:11" ht="15" customHeight="1" x14ac:dyDescent="0.3">
      <c r="B17" s="24">
        <v>6</v>
      </c>
      <c r="C17" s="25">
        <v>0.97699999999999998</v>
      </c>
      <c r="D17" s="30">
        <f t="shared" si="1"/>
        <v>1.9000000000000017E-2</v>
      </c>
      <c r="E17" s="31">
        <f t="shared" si="2"/>
        <v>19000.000000000018</v>
      </c>
      <c r="F17" s="31">
        <f t="shared" si="0"/>
        <v>14178.092536095939</v>
      </c>
      <c r="G17" s="32">
        <f>F17/F22</f>
        <v>1.583105507156608E-2</v>
      </c>
      <c r="H17" s="33">
        <f t="shared" si="3"/>
        <v>9.4986330429396471E-2</v>
      </c>
      <c r="I17" s="33">
        <f>B17*(B17+1)*F17/((1+$C$6)^2)/F22</f>
        <v>0.6030878122501363</v>
      </c>
      <c r="J17">
        <f t="shared" si="4"/>
        <v>85068.555216575638</v>
      </c>
    </row>
    <row r="18" spans="2:11" ht="15" customHeight="1" x14ac:dyDescent="0.3">
      <c r="B18" s="24">
        <v>7</v>
      </c>
      <c r="C18" s="25">
        <v>0.98599999999999999</v>
      </c>
      <c r="D18" s="26">
        <f t="shared" si="1"/>
        <v>9.000000000000008E-3</v>
      </c>
      <c r="E18" s="27">
        <f t="shared" si="2"/>
        <v>9000.0000000000073</v>
      </c>
      <c r="F18" s="27">
        <f t="shared" si="0"/>
        <v>6396.1319711710985</v>
      </c>
      <c r="G18" s="28">
        <f>F18/F22</f>
        <v>7.1418293555937174E-3</v>
      </c>
      <c r="H18" s="29">
        <f t="shared" si="3"/>
        <v>4.9992805489156023E-2</v>
      </c>
      <c r="I18" s="29">
        <f>B18*(B18+1)*F18/((1+$C$6)^2)/F22</f>
        <v>0.36275958631587135</v>
      </c>
      <c r="J18">
        <f t="shared" si="4"/>
        <v>44772.923798197691</v>
      </c>
    </row>
    <row r="19" spans="2:11" ht="15" customHeight="1" x14ac:dyDescent="0.3">
      <c r="B19" s="24">
        <v>8</v>
      </c>
      <c r="C19" s="25">
        <v>0.99099999999999999</v>
      </c>
      <c r="D19" s="30">
        <f t="shared" si="1"/>
        <v>5.0000000000000044E-3</v>
      </c>
      <c r="E19" s="31">
        <f t="shared" si="2"/>
        <v>5000.0000000000045</v>
      </c>
      <c r="F19" s="31">
        <f t="shared" si="0"/>
        <v>3384.1968101434391</v>
      </c>
      <c r="G19" s="32">
        <f>F19/F22</f>
        <v>3.7787456907903273E-3</v>
      </c>
      <c r="H19" s="33">
        <f t="shared" si="3"/>
        <v>3.0229965526322618E-2</v>
      </c>
      <c r="I19" s="33">
        <f>B19*(B19+1)*F19/((1+$C$6)^2)/F22</f>
        <v>0.24677522878630712</v>
      </c>
      <c r="J19">
        <f t="shared" si="4"/>
        <v>27073.574481147512</v>
      </c>
    </row>
    <row r="20" spans="2:11" ht="15" customHeight="1" x14ac:dyDescent="0.3">
      <c r="B20" s="24">
        <v>9</v>
      </c>
      <c r="C20" s="25">
        <v>0.99399999999999999</v>
      </c>
      <c r="D20" s="26">
        <f t="shared" si="1"/>
        <v>3.0000000000000027E-3</v>
      </c>
      <c r="E20" s="27">
        <f t="shared" si="2"/>
        <v>3000.0000000000027</v>
      </c>
      <c r="F20" s="27">
        <f t="shared" si="0"/>
        <v>1933.8267486533937</v>
      </c>
      <c r="G20" s="28">
        <f>F20/F22</f>
        <v>2.159283251880187E-3</v>
      </c>
      <c r="H20" s="29">
        <f t="shared" si="3"/>
        <v>1.9433549266921684E-2</v>
      </c>
      <c r="I20" s="29">
        <f>B20*(B20+1)*F20/((1+$C$6)^2)/F22</f>
        <v>0.17626802056164789</v>
      </c>
      <c r="J20">
        <f t="shared" si="4"/>
        <v>17404.440737880544</v>
      </c>
    </row>
    <row r="21" spans="2:11" ht="15.75" customHeight="1" x14ac:dyDescent="0.3">
      <c r="B21" s="24">
        <v>10</v>
      </c>
      <c r="C21" s="25">
        <v>0.995</v>
      </c>
      <c r="D21" s="30">
        <f t="shared" si="1"/>
        <v>1.0000000000000009E-3</v>
      </c>
      <c r="E21" s="31">
        <f t="shared" si="2"/>
        <v>1000.0000000000009</v>
      </c>
      <c r="F21" s="31">
        <f t="shared" si="0"/>
        <v>613.91325354075991</v>
      </c>
      <c r="G21" s="32">
        <f>F21/F22</f>
        <v>6.8548674662863079E-4</v>
      </c>
      <c r="H21" s="33">
        <f t="shared" si="3"/>
        <v>6.8548674662863079E-3</v>
      </c>
      <c r="I21" s="33">
        <f>B21*(B21+1)*F21/((1+$C$6)^2)/F22</f>
        <v>6.8393235491291962E-2</v>
      </c>
      <c r="J21">
        <f t="shared" si="4"/>
        <v>6139.1325354075989</v>
      </c>
    </row>
    <row r="22" spans="2:11" ht="15" customHeight="1" x14ac:dyDescent="0.3">
      <c r="B22" s="20" t="s">
        <v>52</v>
      </c>
      <c r="C22" s="34" t="s">
        <v>53</v>
      </c>
      <c r="D22" s="35"/>
      <c r="E22" s="36">
        <f>SUM(E12:E21)</f>
        <v>995000</v>
      </c>
      <c r="F22" s="37">
        <f>SUM(F12:F21)</f>
        <v>895587.34222086053</v>
      </c>
      <c r="G22" s="34">
        <f>SUM(G12:G21)</f>
        <v>0.99999999999999989</v>
      </c>
      <c r="H22" s="101">
        <f>SUM(H12:H21)</f>
        <v>2.1107826433785504</v>
      </c>
      <c r="I22" s="35"/>
      <c r="J22" s="100">
        <f>SUM(J12:J21)</f>
        <v>1890390.2175893185</v>
      </c>
      <c r="K22" s="102">
        <f>+J22/F22</f>
        <v>2.1107826433785504</v>
      </c>
    </row>
    <row r="23" spans="2:11" x14ac:dyDescent="0.3">
      <c r="F23" s="100">
        <v>895587.34222086053</v>
      </c>
    </row>
    <row r="24" spans="2:11" ht="21.75" customHeight="1" x14ac:dyDescent="0.3">
      <c r="B24" s="7" t="s">
        <v>54</v>
      </c>
      <c r="C24" s="7"/>
      <c r="D24" s="7"/>
      <c r="E24" s="7"/>
      <c r="F24" s="7"/>
      <c r="G24" s="7"/>
      <c r="H24" s="7"/>
      <c r="I24" s="7"/>
    </row>
    <row r="25" spans="2:11" ht="19.5" customHeight="1" x14ac:dyDescent="0.3">
      <c r="B25" s="38" t="s">
        <v>55</v>
      </c>
      <c r="C25" s="39">
        <f>SUMPRODUCT(B12:B21,F12:F21)/F22</f>
        <v>2.1107826433785504</v>
      </c>
      <c r="D25" s="40" t="s">
        <v>56</v>
      </c>
      <c r="E25" s="6" t="s">
        <v>57</v>
      </c>
      <c r="F25" s="6"/>
      <c r="G25" s="6"/>
      <c r="H25" s="5" t="s">
        <v>58</v>
      </c>
      <c r="I25" s="5"/>
    </row>
    <row r="26" spans="2:11" ht="6" customHeight="1" x14ac:dyDescent="0.3"/>
    <row r="27" spans="2:11" ht="19.5" customHeight="1" x14ac:dyDescent="0.3">
      <c r="B27" s="38" t="s">
        <v>59</v>
      </c>
      <c r="C27" s="39">
        <f>(SUMPRODUCT(B12:B21,F12:F21)/F22)/(1+C6)</f>
        <v>2.0102691841700477</v>
      </c>
      <c r="D27" s="40" t="s">
        <v>56</v>
      </c>
      <c r="E27" s="6" t="s">
        <v>60</v>
      </c>
      <c r="F27" s="6"/>
      <c r="G27" s="6"/>
      <c r="H27" s="5" t="s">
        <v>61</v>
      </c>
      <c r="I27" s="5"/>
      <c r="J27" s="102">
        <f>+K22/(1+C6)</f>
        <v>2.0102691841700477</v>
      </c>
    </row>
    <row r="28" spans="2:11" ht="6" customHeight="1" x14ac:dyDescent="0.3"/>
    <row r="29" spans="2:11" ht="19.5" customHeight="1" x14ac:dyDescent="0.3">
      <c r="B29" s="41" t="s">
        <v>62</v>
      </c>
      <c r="C29" s="42">
        <f>SUMPRODUCT(B12:B21*(B12:B21+1),F12:F21)/((1+C6)^2*F22)</f>
        <v>7.6238107980556231</v>
      </c>
      <c r="D29" s="43"/>
      <c r="E29" s="4" t="s">
        <v>63</v>
      </c>
      <c r="F29" s="4"/>
      <c r="G29" s="4"/>
      <c r="H29" s="5" t="s">
        <v>64</v>
      </c>
      <c r="I29" s="5"/>
    </row>
    <row r="30" spans="2:11" ht="6" customHeight="1" x14ac:dyDescent="0.3"/>
    <row r="31" spans="2:11" ht="27.6" customHeight="1" x14ac:dyDescent="0.3">
      <c r="B31" s="98" t="s">
        <v>65</v>
      </c>
      <c r="C31" s="45" cm="1">
        <f t="array" ref="C31">(SUMPRODUCT(D12:D21*$C$5,1/((1+$C$6-$C$7)^(B12:B21)))-SUMPRODUCT(D12:D21*$C$5,1/((1+$C$6+$C$7)^(B12:B21))))/(2*F22*$C$7)</f>
        <v>2.0109685690839343</v>
      </c>
      <c r="D31" s="46" t="s">
        <v>56</v>
      </c>
      <c r="E31" s="3" t="s">
        <v>66</v>
      </c>
      <c r="F31" s="3"/>
      <c r="G31" s="3"/>
      <c r="H31" s="5" t="s">
        <v>67</v>
      </c>
      <c r="I31" s="5"/>
      <c r="J31" s="100" cm="1">
        <f t="array" ref="J31">+SUMPRODUCT(D12:D21*$C$5,1/((1+$C$6-$C$7)^(B12:B21)))</f>
        <v>913938.82357584522</v>
      </c>
      <c r="K31" s="100" cm="1">
        <f t="array" ref="K31">+SUMPRODUCT(D12:D21*$C$5,1/((1+$C$6+$C$7)^(B12:B21)))</f>
        <v>877918.86365433387</v>
      </c>
    </row>
    <row r="32" spans="2:11" ht="33.6" customHeight="1" x14ac:dyDescent="0.3">
      <c r="B32" s="99" t="s">
        <v>68</v>
      </c>
      <c r="C32" s="47">
        <f>C31*(1-C8*0.62)</f>
        <v>1.5122483639511186</v>
      </c>
      <c r="D32" t="s">
        <v>56</v>
      </c>
      <c r="E32" s="48" t="s">
        <v>69</v>
      </c>
      <c r="H32" s="49" t="s">
        <v>70</v>
      </c>
    </row>
    <row r="34" spans="2:9" ht="15" customHeight="1" x14ac:dyDescent="0.3">
      <c r="B34" s="9" t="s">
        <v>71</v>
      </c>
      <c r="C34" s="9"/>
      <c r="D34" s="9"/>
      <c r="E34" s="9"/>
      <c r="F34" s="9"/>
      <c r="G34" s="9"/>
      <c r="H34" s="9"/>
      <c r="I34" s="9"/>
    </row>
    <row r="35" spans="2:9" ht="15" customHeight="1" x14ac:dyDescent="0.3">
      <c r="B35" s="50" t="s">
        <v>72</v>
      </c>
      <c r="C35" s="50" t="s">
        <v>73</v>
      </c>
      <c r="D35" s="50" t="s">
        <v>74</v>
      </c>
      <c r="E35" s="50" t="s">
        <v>75</v>
      </c>
      <c r="F35" s="50" t="s">
        <v>76</v>
      </c>
      <c r="G35" s="23" t="s">
        <v>77</v>
      </c>
    </row>
    <row r="36" spans="2:9" ht="15" customHeight="1" x14ac:dyDescent="0.3">
      <c r="B36" s="51" t="s">
        <v>78</v>
      </c>
      <c r="C36" s="52">
        <f>C6</f>
        <v>0.05</v>
      </c>
      <c r="D36" s="27">
        <f>SUMPRODUCT(D12:D21*$C$5,1/((1+C36)^B12:B21))</f>
        <v>895587.34222086053</v>
      </c>
      <c r="E36" s="53" t="s">
        <v>79</v>
      </c>
      <c r="F36" s="54" t="s">
        <v>79</v>
      </c>
      <c r="G36" s="54" t="s">
        <v>79</v>
      </c>
    </row>
    <row r="37" spans="2:9" ht="15" customHeight="1" x14ac:dyDescent="0.3">
      <c r="B37" s="55" t="s">
        <v>80</v>
      </c>
      <c r="C37" s="56">
        <f>C6+C7</f>
        <v>6.0000000000000005E-2</v>
      </c>
      <c r="D37" s="57">
        <f>SUMPRODUCT(D12:D21*$C$5,1/((1+C37)^B12:B21))</f>
        <v>877918.86365433387</v>
      </c>
      <c r="E37" s="58">
        <f>D37-D36</f>
        <v>-17668.478566526668</v>
      </c>
      <c r="F37" s="56">
        <f>E37/D36</f>
        <v>-1.9728370124920156E-2</v>
      </c>
      <c r="G37" s="58">
        <f>-C27*(C37-$C$6)*D36</f>
        <v>-18003.716357993511</v>
      </c>
    </row>
    <row r="38" spans="2:9" ht="15" customHeight="1" x14ac:dyDescent="0.3">
      <c r="B38" s="55" t="s">
        <v>81</v>
      </c>
      <c r="C38" s="56">
        <f>C6+2*C7</f>
        <v>7.0000000000000007E-2</v>
      </c>
      <c r="D38" s="57">
        <f>SUMPRODUCT(D12:D21*$C$5,1/((1+C38)^B12:B21))</f>
        <v>860897.10456362704</v>
      </c>
      <c r="E38" s="58">
        <f>D38-D36</f>
        <v>-34690.237657233491</v>
      </c>
      <c r="F38" s="56">
        <f>E38/D36</f>
        <v>-3.8734622545255379E-2</v>
      </c>
      <c r="G38" s="58">
        <f>-C27*(C38-$C$6)*D36</f>
        <v>-36007.432715987023</v>
      </c>
    </row>
    <row r="39" spans="2:9" ht="15" customHeight="1" x14ac:dyDescent="0.3">
      <c r="B39" s="59" t="s">
        <v>82</v>
      </c>
      <c r="C39" s="60">
        <f>C6-C7</f>
        <v>0.04</v>
      </c>
      <c r="D39" s="61">
        <f>SUMPRODUCT(D12:D21*$C$5,1/((1+C39)^B12:B21))</f>
        <v>913938.82357584522</v>
      </c>
      <c r="E39" s="62">
        <f>D39-D36</f>
        <v>18351.481354984688</v>
      </c>
      <c r="F39" s="60">
        <f>E39/D36</f>
        <v>2.0491001256758533E-2</v>
      </c>
      <c r="G39" s="62">
        <f>-C27*(C39-$C$6)*D36</f>
        <v>18003.716357993511</v>
      </c>
    </row>
    <row r="40" spans="2:9" ht="15" customHeight="1" x14ac:dyDescent="0.3">
      <c r="B40" s="59" t="s">
        <v>83</v>
      </c>
      <c r="C40" s="60">
        <f>C6-2*C7</f>
        <v>3.0000000000000002E-2</v>
      </c>
      <c r="D40" s="61">
        <f>SUMPRODUCT(D12:D21*$C$5,1/((1+C40)^B12:B21))</f>
        <v>933012.28155383095</v>
      </c>
      <c r="E40" s="62">
        <f>D40-D36</f>
        <v>37424.939332970418</v>
      </c>
      <c r="F40" s="60">
        <f>E40/D36</f>
        <v>4.1788151270835031E-2</v>
      </c>
      <c r="G40" s="62">
        <f>-C27*(C40-$C$6)*D36</f>
        <v>36007.432715987015</v>
      </c>
    </row>
  </sheetData>
  <mergeCells count="18">
    <mergeCell ref="B34:I34"/>
    <mergeCell ref="E27:G27"/>
    <mergeCell ref="H27:I27"/>
    <mergeCell ref="E29:G29"/>
    <mergeCell ref="H29:I29"/>
    <mergeCell ref="E31:G31"/>
    <mergeCell ref="H31:I31"/>
    <mergeCell ref="D7:I7"/>
    <mergeCell ref="D8:I8"/>
    <mergeCell ref="B10:I10"/>
    <mergeCell ref="B24:I24"/>
    <mergeCell ref="E25:G25"/>
    <mergeCell ref="H25:I25"/>
    <mergeCell ref="B1:I1"/>
    <mergeCell ref="B2:I2"/>
    <mergeCell ref="B4:E4"/>
    <mergeCell ref="D5:I5"/>
    <mergeCell ref="D6:I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36"/>
  <sheetViews>
    <sheetView showGridLines="0" zoomScaleNormal="100" workbookViewId="0">
      <pane ySplit="8" topLeftCell="A27" activePane="bottomLeft" state="frozen"/>
      <selection pane="bottomLeft" activeCell="C27" sqref="C27"/>
    </sheetView>
  </sheetViews>
  <sheetFormatPr baseColWidth="10" defaultColWidth="8.6640625" defaultRowHeight="14.4" x14ac:dyDescent="0.3"/>
  <cols>
    <col min="1" max="1" width="3" customWidth="1"/>
    <col min="2" max="2" width="20" customWidth="1"/>
    <col min="3" max="4" width="14" customWidth="1"/>
    <col min="5" max="9" width="16" customWidth="1"/>
    <col min="10" max="10" width="18" customWidth="1"/>
  </cols>
  <sheetData>
    <row r="1" spans="2:11" ht="30" customHeight="1" x14ac:dyDescent="0.3">
      <c r="B1" s="11" t="s">
        <v>84</v>
      </c>
      <c r="C1" s="11"/>
      <c r="D1" s="11"/>
      <c r="E1" s="11"/>
      <c r="F1" s="11"/>
      <c r="G1" s="11"/>
      <c r="H1" s="11"/>
      <c r="I1" s="11"/>
      <c r="J1" s="11"/>
    </row>
    <row r="2" spans="2:11" ht="15" customHeight="1" x14ac:dyDescent="0.3">
      <c r="B2" s="2" t="s">
        <v>85</v>
      </c>
      <c r="C2" s="2"/>
      <c r="D2" s="2"/>
      <c r="E2" s="2"/>
      <c r="F2" s="2"/>
      <c r="G2" s="2"/>
      <c r="H2" s="2"/>
      <c r="I2" s="2"/>
      <c r="J2" s="2"/>
    </row>
    <row r="4" spans="2:11" ht="15" customHeight="1" x14ac:dyDescent="0.3">
      <c r="B4" s="1" t="s">
        <v>34</v>
      </c>
      <c r="C4" s="1"/>
      <c r="D4" s="1"/>
      <c r="E4" s="1"/>
      <c r="F4" s="1"/>
    </row>
    <row r="5" spans="2:11" ht="18" customHeight="1" x14ac:dyDescent="0.3">
      <c r="B5" s="64" t="s">
        <v>35</v>
      </c>
      <c r="C5" s="65">
        <v>500000</v>
      </c>
      <c r="D5" s="8" t="s">
        <v>86</v>
      </c>
      <c r="E5" s="8"/>
      <c r="F5" s="8"/>
      <c r="G5" s="8"/>
      <c r="H5" s="8"/>
      <c r="I5" s="8"/>
    </row>
    <row r="6" spans="2:11" ht="18" customHeight="1" x14ac:dyDescent="0.3">
      <c r="B6" s="64" t="s">
        <v>37</v>
      </c>
      <c r="C6" s="66">
        <v>0.06</v>
      </c>
      <c r="D6" s="8" t="s">
        <v>87</v>
      </c>
      <c r="E6" s="8"/>
      <c r="F6" s="8"/>
      <c r="G6" s="8"/>
      <c r="H6" s="8"/>
      <c r="I6" s="8"/>
    </row>
    <row r="7" spans="2:11" ht="18" customHeight="1" x14ac:dyDescent="0.3">
      <c r="B7" s="64" t="s">
        <v>39</v>
      </c>
      <c r="C7" s="66">
        <v>0.01</v>
      </c>
      <c r="D7" s="8" t="s">
        <v>88</v>
      </c>
      <c r="E7" s="8"/>
      <c r="F7" s="8"/>
      <c r="G7" s="8"/>
      <c r="H7" s="8"/>
      <c r="I7" s="8"/>
    </row>
    <row r="8" spans="2:11" ht="18" customHeight="1" x14ac:dyDescent="0.3">
      <c r="B8" s="64" t="s">
        <v>89</v>
      </c>
      <c r="C8" s="66">
        <v>0.4</v>
      </c>
      <c r="D8" s="8" t="s">
        <v>90</v>
      </c>
      <c r="E8" s="8"/>
      <c r="F8" s="8"/>
      <c r="G8" s="8"/>
      <c r="H8" s="8"/>
      <c r="I8" s="8"/>
    </row>
    <row r="9" spans="2:11" ht="18" customHeight="1" x14ac:dyDescent="0.3">
      <c r="B9" s="64" t="s">
        <v>91</v>
      </c>
      <c r="C9" s="66">
        <v>0.03</v>
      </c>
      <c r="D9" s="8" t="s">
        <v>92</v>
      </c>
      <c r="E9" s="8"/>
      <c r="F9" s="8"/>
      <c r="G9" s="8"/>
      <c r="H9" s="8"/>
      <c r="I9" s="8"/>
    </row>
    <row r="10" spans="2:11" ht="27.75" customHeight="1" x14ac:dyDescent="0.3">
      <c r="B10" s="90" t="s">
        <v>93</v>
      </c>
      <c r="C10" s="90"/>
      <c r="D10" s="90"/>
      <c r="E10" s="90"/>
      <c r="F10" s="90"/>
      <c r="G10" s="90"/>
      <c r="H10" s="90"/>
      <c r="I10" s="90"/>
    </row>
    <row r="11" spans="2:11" ht="15" customHeight="1" x14ac:dyDescent="0.3">
      <c r="B11" s="90"/>
      <c r="C11" s="90"/>
      <c r="D11" s="90"/>
      <c r="E11" s="90"/>
      <c r="F11" s="90"/>
      <c r="G11" s="90"/>
      <c r="H11" s="90"/>
      <c r="I11" s="90"/>
    </row>
    <row r="12" spans="2:11" ht="15" customHeight="1" x14ac:dyDescent="0.3">
      <c r="B12" s="1" t="s">
        <v>94</v>
      </c>
      <c r="C12" s="1"/>
      <c r="D12" s="1"/>
      <c r="E12" s="1"/>
      <c r="F12" s="1"/>
      <c r="G12" s="1"/>
      <c r="H12" s="1"/>
      <c r="I12" s="1"/>
      <c r="J12" s="1"/>
    </row>
    <row r="13" spans="2:11" ht="36" customHeight="1" x14ac:dyDescent="0.3">
      <c r="B13" s="67" t="s">
        <v>44</v>
      </c>
      <c r="C13" s="67" t="s">
        <v>45</v>
      </c>
      <c r="D13" s="67" t="s">
        <v>46</v>
      </c>
      <c r="E13" s="67" t="s">
        <v>95</v>
      </c>
      <c r="F13" s="67" t="s">
        <v>96</v>
      </c>
      <c r="G13" s="67" t="s">
        <v>97</v>
      </c>
      <c r="H13" s="67" t="s">
        <v>98</v>
      </c>
      <c r="I13" s="67" t="s">
        <v>99</v>
      </c>
      <c r="J13" s="67" t="s">
        <v>50</v>
      </c>
      <c r="K13" s="67" t="s">
        <v>100</v>
      </c>
    </row>
    <row r="14" spans="2:11" ht="15" customHeight="1" x14ac:dyDescent="0.3">
      <c r="B14" s="68">
        <v>1</v>
      </c>
      <c r="C14" s="69">
        <v>0.5</v>
      </c>
      <c r="D14" s="70">
        <f>C14</f>
        <v>0.5</v>
      </c>
      <c r="E14" s="71">
        <f>D14*$C$5</f>
        <v>250000</v>
      </c>
      <c r="F14" s="72">
        <f>1-$C$8</f>
        <v>0.6</v>
      </c>
      <c r="G14" s="71">
        <f>E14*F14</f>
        <v>150000</v>
      </c>
      <c r="H14" s="71">
        <f>G14/(1+$C$6)^B14</f>
        <v>141509.43396226416</v>
      </c>
      <c r="I14" s="73">
        <f>H14/H18</f>
        <v>0.52164879098238603</v>
      </c>
      <c r="J14" s="74">
        <f>B14*I14</f>
        <v>0.52164879098238603</v>
      </c>
      <c r="K14" s="74">
        <f>B14*(B14+1)*H14/((1+$C$6)^2)/H18</f>
        <v>0.92853113382411179</v>
      </c>
    </row>
    <row r="15" spans="2:11" ht="15" customHeight="1" x14ac:dyDescent="0.3">
      <c r="B15" s="68">
        <v>2</v>
      </c>
      <c r="C15" s="69">
        <v>0.8</v>
      </c>
      <c r="D15" s="30">
        <f>C15-C14</f>
        <v>0.30000000000000004</v>
      </c>
      <c r="E15" s="31">
        <f>D15*$C$5</f>
        <v>150000.00000000003</v>
      </c>
      <c r="F15" s="72">
        <f>1-$C$8</f>
        <v>0.6</v>
      </c>
      <c r="G15" s="31">
        <f>E15*F15</f>
        <v>90000.000000000015</v>
      </c>
      <c r="H15" s="31">
        <f>G15/(1+$C$6)^B15</f>
        <v>80099.67960128159</v>
      </c>
      <c r="I15" s="32">
        <f>H15/H18</f>
        <v>0.29527290055606753</v>
      </c>
      <c r="J15" s="33">
        <f>B15*I15</f>
        <v>0.59054580111213506</v>
      </c>
      <c r="K15" s="33">
        <f>B15*(B15+1)*H15/((1+$C$6)^2)/H18</f>
        <v>1.5767509819654726</v>
      </c>
    </row>
    <row r="16" spans="2:11" ht="15" customHeight="1" x14ac:dyDescent="0.3">
      <c r="B16" s="68">
        <v>3</v>
      </c>
      <c r="C16" s="69">
        <v>0.95</v>
      </c>
      <c r="D16" s="70">
        <f>C16-C15</f>
        <v>0.14999999999999991</v>
      </c>
      <c r="E16" s="71">
        <f>D16*$C$5</f>
        <v>74999.999999999956</v>
      </c>
      <c r="F16" s="72">
        <f>1-$C$8</f>
        <v>0.6</v>
      </c>
      <c r="G16" s="71">
        <f>E16*F16</f>
        <v>44999.999999999971</v>
      </c>
      <c r="H16" s="71">
        <f>G16/(1+$C$6)^B16</f>
        <v>37782.867736453547</v>
      </c>
      <c r="I16" s="73">
        <f>H16/H18</f>
        <v>0.13927967007361663</v>
      </c>
      <c r="J16" s="74">
        <f>B16*I16</f>
        <v>0.4178390102208499</v>
      </c>
      <c r="K16" s="74">
        <f>B16*(B16+1)*H16/((1+$C$6)^2)/H18</f>
        <v>1.4875009263825201</v>
      </c>
    </row>
    <row r="17" spans="2:11" ht="15" customHeight="1" x14ac:dyDescent="0.3">
      <c r="B17" s="68">
        <v>4</v>
      </c>
      <c r="C17" s="69">
        <v>1</v>
      </c>
      <c r="D17" s="30">
        <f>C17-C16</f>
        <v>5.0000000000000044E-2</v>
      </c>
      <c r="E17" s="31">
        <f>D17*$C$5</f>
        <v>25000.000000000022</v>
      </c>
      <c r="F17" s="72">
        <f>1-$C$8</f>
        <v>0.6</v>
      </c>
      <c r="G17" s="31">
        <f>E17*F17</f>
        <v>15000.000000000013</v>
      </c>
      <c r="H17" s="31">
        <f>G17/(1+$C$6)^B17</f>
        <v>11881.404948570316</v>
      </c>
      <c r="I17" s="32">
        <f>H17/H18</f>
        <v>4.3798638387929828E-2</v>
      </c>
      <c r="J17" s="33">
        <f>B17*I17</f>
        <v>0.17519455355171931</v>
      </c>
      <c r="K17" s="33">
        <f>B17*(B17+1)*H17/((1+$C$6)^2)/H18</f>
        <v>0.77961264485457138</v>
      </c>
    </row>
    <row r="18" spans="2:11" ht="15" customHeight="1" x14ac:dyDescent="0.3">
      <c r="B18" s="63" t="s">
        <v>52</v>
      </c>
      <c r="C18" s="75" t="s">
        <v>53</v>
      </c>
      <c r="D18" s="76"/>
      <c r="E18" s="77">
        <f>SUM(E14:E17)</f>
        <v>499999.99999999994</v>
      </c>
      <c r="F18" s="76"/>
      <c r="G18" s="77">
        <f>SUM(G14:G17)</f>
        <v>300000</v>
      </c>
      <c r="H18" s="37">
        <f>SUM(H14:H17)</f>
        <v>271273.38624856959</v>
      </c>
      <c r="I18" s="78">
        <f>SUM(I14:I17)</f>
        <v>1</v>
      </c>
      <c r="J18" s="76"/>
      <c r="K18" s="76"/>
    </row>
    <row r="20" spans="2:11" ht="15" customHeight="1" x14ac:dyDescent="0.3">
      <c r="B20" s="7" t="s">
        <v>54</v>
      </c>
      <c r="C20" s="7"/>
      <c r="D20" s="7"/>
      <c r="E20" s="7"/>
      <c r="F20" s="7"/>
      <c r="G20" s="7"/>
      <c r="H20" s="7"/>
      <c r="I20" s="7"/>
      <c r="J20" s="7"/>
    </row>
    <row r="21" spans="2:11" ht="19.5" customHeight="1" x14ac:dyDescent="0.3">
      <c r="B21" s="44" t="s">
        <v>55</v>
      </c>
      <c r="C21" s="45">
        <f>SUMPRODUCT(B14:B17,H14:H17)/H18</f>
        <v>1.7052281558670905</v>
      </c>
      <c r="D21" s="46" t="s">
        <v>56</v>
      </c>
      <c r="E21" s="91" t="s">
        <v>101</v>
      </c>
      <c r="F21" s="91"/>
      <c r="G21" s="91"/>
      <c r="H21" s="5" t="s">
        <v>102</v>
      </c>
      <c r="I21" s="5"/>
      <c r="J21" s="5"/>
    </row>
    <row r="22" spans="2:11" ht="6" customHeight="1" x14ac:dyDescent="0.3"/>
    <row r="23" spans="2:11" ht="19.5" customHeight="1" x14ac:dyDescent="0.3">
      <c r="B23" s="44" t="s">
        <v>59</v>
      </c>
      <c r="C23" s="45">
        <f>(SUMPRODUCT(B14:B17,H14:H17)/H18)/(1+C6)</f>
        <v>1.6087058074217835</v>
      </c>
      <c r="D23" s="46" t="s">
        <v>56</v>
      </c>
      <c r="E23" s="91" t="s">
        <v>60</v>
      </c>
      <c r="F23" s="91"/>
      <c r="G23" s="91"/>
      <c r="H23" s="5" t="s">
        <v>103</v>
      </c>
      <c r="I23" s="5"/>
      <c r="J23" s="5"/>
    </row>
    <row r="24" spans="2:11" ht="6" customHeight="1" x14ac:dyDescent="0.3"/>
    <row r="25" spans="2:11" ht="19.5" customHeight="1" x14ac:dyDescent="0.3">
      <c r="B25" s="79" t="s">
        <v>62</v>
      </c>
      <c r="C25" s="80">
        <f>SUMPRODUCT(B14:B17*(B14:B17+1),H14:H17)/((1+C6)^2*H18)</f>
        <v>4.7723956870266768</v>
      </c>
      <c r="D25" s="81"/>
      <c r="E25" s="92" t="s">
        <v>104</v>
      </c>
      <c r="F25" s="92"/>
      <c r="G25" s="92"/>
      <c r="H25" s="5"/>
      <c r="I25" s="5"/>
      <c r="J25" s="5"/>
    </row>
    <row r="26" spans="2:11" ht="6" customHeight="1" x14ac:dyDescent="0.3"/>
    <row r="27" spans="2:11" ht="19.5" customHeight="1" x14ac:dyDescent="0.3">
      <c r="B27" s="44" t="s">
        <v>65</v>
      </c>
      <c r="C27" s="45" cm="1">
        <f t="array" ref="C27">(SUMPRODUCT(D14:D17*$C$5*(1-$C$8),1/((1+$C$6-$C$7)^(B14:B17)))-SUMPRODUCT(D14:D17*$C$5*(1-$C$8),1/((1+$C$6+$C$7)^(B14:B17))))/(2*H18*$C$7)</f>
        <v>1.6090393203780979</v>
      </c>
      <c r="D27" s="46" t="s">
        <v>56</v>
      </c>
      <c r="E27" s="91" t="s">
        <v>66</v>
      </c>
      <c r="F27" s="91"/>
      <c r="G27" s="91"/>
      <c r="H27" s="5" t="s">
        <v>105</v>
      </c>
      <c r="I27" s="5"/>
      <c r="J27" s="5"/>
    </row>
    <row r="28" spans="2:11" ht="6" customHeight="1" x14ac:dyDescent="0.3"/>
    <row r="30" spans="2:11" ht="15" customHeight="1" x14ac:dyDescent="0.3">
      <c r="B30" s="1" t="s">
        <v>106</v>
      </c>
      <c r="C30" s="1"/>
      <c r="D30" s="1"/>
      <c r="E30" s="1"/>
      <c r="F30" s="1"/>
      <c r="G30" s="1"/>
      <c r="H30" s="1"/>
      <c r="I30" s="1"/>
      <c r="J30" s="1"/>
    </row>
    <row r="31" spans="2:11" ht="21.75" customHeight="1" x14ac:dyDescent="0.3">
      <c r="B31" s="82" t="s">
        <v>72</v>
      </c>
      <c r="C31" s="82" t="s">
        <v>107</v>
      </c>
      <c r="D31" s="82" t="s">
        <v>108</v>
      </c>
      <c r="E31" s="82" t="s">
        <v>75</v>
      </c>
      <c r="F31" s="82" t="s">
        <v>76</v>
      </c>
      <c r="G31" s="83" t="s">
        <v>109</v>
      </c>
    </row>
    <row r="32" spans="2:11" ht="15" customHeight="1" x14ac:dyDescent="0.3">
      <c r="B32" s="84" t="s">
        <v>110</v>
      </c>
      <c r="C32" s="85">
        <f>C6</f>
        <v>0.06</v>
      </c>
      <c r="D32" s="71">
        <f>SUMPRODUCT(D14:D17*$C$5*(1-$C$8),1/((1+C32)^B14:B17))</f>
        <v>271273.38624856959</v>
      </c>
      <c r="E32" s="86" t="s">
        <v>79</v>
      </c>
      <c r="F32" s="86" t="s">
        <v>79</v>
      </c>
      <c r="G32" s="86" t="s">
        <v>79</v>
      </c>
    </row>
    <row r="33" spans="2:7" ht="15" customHeight="1" x14ac:dyDescent="0.3">
      <c r="B33" s="55" t="s">
        <v>111</v>
      </c>
      <c r="C33" s="56">
        <f>C6+C7</f>
        <v>6.9999999999999993E-2</v>
      </c>
      <c r="D33" s="57">
        <f>SUMPRODUCT(D14:D17*$C$5*(1-$C$8),1/((1+C33)^B14:B17))</f>
        <v>266973.23407324072</v>
      </c>
      <c r="E33" s="58">
        <f>D33-D32</f>
        <v>-4300.1521753288689</v>
      </c>
      <c r="F33" s="56">
        <f>E33/D32</f>
        <v>-1.5851728895324112E-2</v>
      </c>
      <c r="G33" s="58">
        <f>-C23*(C33-C6)*D32</f>
        <v>-4363.9907185704624</v>
      </c>
    </row>
    <row r="34" spans="2:7" ht="15" customHeight="1" x14ac:dyDescent="0.3">
      <c r="B34" s="55" t="s">
        <v>112</v>
      </c>
      <c r="C34" s="56">
        <f>C6+2*C7</f>
        <v>0.08</v>
      </c>
      <c r="D34" s="57">
        <f>SUMPRODUCT(D14:D17*$C$5*(1-$C$8),1/((1+C34)^B14:B17))</f>
        <v>262797.28135390382</v>
      </c>
      <c r="E34" s="58">
        <f>D34-D32</f>
        <v>-8476.1048946657684</v>
      </c>
      <c r="F34" s="56">
        <f>E34/D32</f>
        <v>-3.1245619085165464E-2</v>
      </c>
      <c r="G34" s="58">
        <f>-C23*(C34-C6)*D32</f>
        <v>-8727.981437140932</v>
      </c>
    </row>
    <row r="35" spans="2:7" ht="15" customHeight="1" x14ac:dyDescent="0.3">
      <c r="B35" s="59" t="s">
        <v>113</v>
      </c>
      <c r="C35" s="60">
        <f>C6-C7</f>
        <v>4.9999999999999996E-2</v>
      </c>
      <c r="D35" s="61">
        <f>SUMPRODUCT(D14:D17*$C$5*(1-$C$8),1/((1+C35)^B14:B17))</f>
        <v>275703.02497416199</v>
      </c>
      <c r="E35" s="62">
        <f>D35-D32</f>
        <v>4429.6387255924055</v>
      </c>
      <c r="F35" s="60">
        <f>E35/D32</f>
        <v>1.632905751223785E-2</v>
      </c>
      <c r="G35" s="62">
        <f>-C23*(C35-C6)*D32</f>
        <v>4363.990718570466</v>
      </c>
    </row>
    <row r="36" spans="2:7" ht="15" customHeight="1" x14ac:dyDescent="0.3">
      <c r="B36" s="59" t="s">
        <v>114</v>
      </c>
      <c r="C36" s="60">
        <f>C6-2*C7</f>
        <v>3.9999999999999994E-2</v>
      </c>
      <c r="D36" s="61">
        <f>SUMPRODUCT(D14:D17*$C$5*(1-$C$8),1/((1+C36)^B14:B17))</f>
        <v>280267.72740800388</v>
      </c>
      <c r="E36" s="62">
        <f>D36-D32</f>
        <v>8994.3411594342906</v>
      </c>
      <c r="F36" s="60">
        <f>E36/D32</f>
        <v>3.3156002819947537E-2</v>
      </c>
      <c r="G36" s="62">
        <f>-C23*(C36-C6)*D32</f>
        <v>8727.981437140932</v>
      </c>
    </row>
  </sheetData>
  <mergeCells count="20">
    <mergeCell ref="E25:G25"/>
    <mergeCell ref="H25:J25"/>
    <mergeCell ref="E27:G27"/>
    <mergeCell ref="H27:J27"/>
    <mergeCell ref="B30:J30"/>
    <mergeCell ref="B20:J20"/>
    <mergeCell ref="E21:G21"/>
    <mergeCell ref="H21:J21"/>
    <mergeCell ref="E23:G23"/>
    <mergeCell ref="H23:J23"/>
    <mergeCell ref="D7:I7"/>
    <mergeCell ref="D8:I8"/>
    <mergeCell ref="D9:I9"/>
    <mergeCell ref="B10:I11"/>
    <mergeCell ref="B12:J12"/>
    <mergeCell ref="B1:J1"/>
    <mergeCell ref="B2:J2"/>
    <mergeCell ref="B4:F4"/>
    <mergeCell ref="D5:I5"/>
    <mergeCell ref="D6:I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3"/>
  <sheetViews>
    <sheetView showGridLines="0" zoomScaleNormal="100" workbookViewId="0">
      <selection activeCell="E8" sqref="E8"/>
    </sheetView>
  </sheetViews>
  <sheetFormatPr baseColWidth="10" defaultColWidth="8.6640625" defaultRowHeight="14.4" x14ac:dyDescent="0.3"/>
  <cols>
    <col min="1" max="9" width="20" customWidth="1"/>
  </cols>
  <sheetData>
    <row r="1" spans="2:8" ht="30" customHeight="1" x14ac:dyDescent="0.3">
      <c r="B1" s="11" t="s">
        <v>115</v>
      </c>
      <c r="C1" s="11"/>
      <c r="D1" s="11"/>
      <c r="E1" s="11"/>
      <c r="F1" s="11"/>
      <c r="G1" s="11"/>
      <c r="H1" s="11"/>
    </row>
    <row r="2" spans="2:8" ht="15" customHeight="1" x14ac:dyDescent="0.3">
      <c r="B2" s="10" t="s">
        <v>116</v>
      </c>
      <c r="C2" s="10"/>
      <c r="D2" s="10"/>
      <c r="E2" s="10"/>
      <c r="F2" s="10"/>
      <c r="G2" s="10"/>
      <c r="H2" s="10"/>
    </row>
    <row r="4" spans="2:8" ht="36" customHeight="1" x14ac:dyDescent="0.3">
      <c r="B4" s="87" t="s">
        <v>117</v>
      </c>
      <c r="C4" s="87" t="s">
        <v>118</v>
      </c>
      <c r="D4" s="87" t="s">
        <v>119</v>
      </c>
      <c r="E4" s="87" t="s">
        <v>120</v>
      </c>
      <c r="F4" s="93" t="s">
        <v>121</v>
      </c>
      <c r="G4" s="93"/>
      <c r="H4" s="93"/>
    </row>
    <row r="5" spans="2:8" ht="19.5" customHeight="1" x14ac:dyDescent="0.3">
      <c r="B5" s="41" t="s">
        <v>122</v>
      </c>
      <c r="C5" s="42">
        <f>'1_Auto_Duration'!C25</f>
        <v>2.1107826433785504</v>
      </c>
      <c r="D5" s="88">
        <f>'2_Credito_Duration'!C21</f>
        <v>1.7052281558670905</v>
      </c>
      <c r="E5" s="89">
        <f>'1_Auto_Duration'!C25-'2_Credito_Duration'!C21</f>
        <v>0.40555448751145984</v>
      </c>
      <c r="F5" s="94" t="s">
        <v>123</v>
      </c>
      <c r="G5" s="94"/>
      <c r="H5" s="94"/>
    </row>
    <row r="6" spans="2:8" ht="19.5" customHeight="1" x14ac:dyDescent="0.3">
      <c r="B6" s="15" t="s">
        <v>124</v>
      </c>
      <c r="C6" s="42">
        <f>'1_Auto_Duration'!C27</f>
        <v>2.0102691841700477</v>
      </c>
      <c r="D6" s="88">
        <f>'2_Credito_Duration'!C23</f>
        <v>1.6087058074217835</v>
      </c>
      <c r="E6" s="89">
        <f>'1_Auto_Duration'!C27-'2_Credito_Duration'!C23</f>
        <v>0.40156337674826426</v>
      </c>
      <c r="F6" s="94" t="s">
        <v>125</v>
      </c>
      <c r="G6" s="94"/>
      <c r="H6" s="94"/>
    </row>
    <row r="7" spans="2:8" ht="19.5" customHeight="1" x14ac:dyDescent="0.3">
      <c r="B7" s="41" t="s">
        <v>126</v>
      </c>
      <c r="C7" s="42">
        <f>'1_Auto_Duration'!C32</f>
        <v>1.5122483639511186</v>
      </c>
      <c r="D7" s="88">
        <f>'2_Credito_Duration'!C27</f>
        <v>1.6090393203780979</v>
      </c>
      <c r="E7" s="89">
        <f>'1_Auto_Duration'!C31-'2_Credito_Duration'!C27</f>
        <v>0.40192924870583635</v>
      </c>
      <c r="F7" s="94" t="s">
        <v>127</v>
      </c>
      <c r="G7" s="94"/>
      <c r="H7" s="94"/>
    </row>
    <row r="8" spans="2:8" ht="19.5" customHeight="1" x14ac:dyDescent="0.3">
      <c r="B8" s="15" t="s">
        <v>62</v>
      </c>
      <c r="C8" s="42">
        <f>'1_Auto_Duration'!C29</f>
        <v>7.6238107980556231</v>
      </c>
      <c r="D8" s="88">
        <f>'2_Credito_Duration'!C25</f>
        <v>4.7723956870266768</v>
      </c>
      <c r="E8" s="89">
        <f>'1_Auto_Duration'!C29-'2_Credito_Duration'!C25</f>
        <v>2.8514151110289463</v>
      </c>
      <c r="F8" s="94" t="s">
        <v>128</v>
      </c>
      <c r="G8" s="94"/>
      <c r="H8" s="94"/>
    </row>
    <row r="11" spans="2:8" ht="15" customHeight="1" x14ac:dyDescent="0.3">
      <c r="B11" s="95" t="s">
        <v>129</v>
      </c>
      <c r="C11" s="95"/>
      <c r="D11" s="95"/>
      <c r="E11" s="95"/>
      <c r="F11" s="95"/>
      <c r="G11" s="95"/>
      <c r="H11" s="95"/>
    </row>
    <row r="12" spans="2:8" ht="19.5" customHeight="1" x14ac:dyDescent="0.3">
      <c r="B12" s="96" t="s">
        <v>130</v>
      </c>
      <c r="C12" s="96"/>
      <c r="D12" s="96"/>
      <c r="E12" s="96"/>
      <c r="F12" s="96"/>
      <c r="G12" s="96"/>
      <c r="H12" s="96"/>
    </row>
    <row r="13" spans="2:8" ht="30" customHeight="1" x14ac:dyDescent="0.3">
      <c r="B13" s="97" t="s">
        <v>131</v>
      </c>
      <c r="C13" s="97"/>
      <c r="D13" s="97"/>
      <c r="E13" s="97"/>
      <c r="F13" s="97"/>
      <c r="G13" s="97"/>
      <c r="H13" s="97"/>
    </row>
    <row r="14" spans="2:8" ht="7.5" customHeight="1" x14ac:dyDescent="0.3">
      <c r="B14" s="97"/>
      <c r="C14" s="97"/>
      <c r="D14" s="97"/>
      <c r="E14" s="97"/>
      <c r="F14" s="97"/>
      <c r="G14" s="97"/>
      <c r="H14" s="97"/>
    </row>
    <row r="15" spans="2:8" ht="19.5" customHeight="1" x14ac:dyDescent="0.3">
      <c r="B15" s="96" t="s">
        <v>132</v>
      </c>
      <c r="C15" s="96"/>
      <c r="D15" s="96"/>
      <c r="E15" s="96"/>
      <c r="F15" s="96"/>
      <c r="G15" s="96"/>
      <c r="H15" s="96"/>
    </row>
    <row r="16" spans="2:8" ht="30" customHeight="1" x14ac:dyDescent="0.3">
      <c r="B16" s="97" t="s">
        <v>133</v>
      </c>
      <c r="C16" s="97"/>
      <c r="D16" s="97"/>
      <c r="E16" s="97"/>
      <c r="F16" s="97"/>
      <c r="G16" s="97"/>
      <c r="H16" s="97"/>
    </row>
    <row r="17" spans="2:8" ht="7.5" customHeight="1" x14ac:dyDescent="0.3">
      <c r="B17" s="97"/>
      <c r="C17" s="97"/>
      <c r="D17" s="97"/>
      <c r="E17" s="97"/>
      <c r="F17" s="97"/>
      <c r="G17" s="97"/>
      <c r="H17" s="97"/>
    </row>
    <row r="18" spans="2:8" ht="19.5" customHeight="1" x14ac:dyDescent="0.3">
      <c r="B18" s="96" t="s">
        <v>134</v>
      </c>
      <c r="C18" s="96"/>
      <c r="D18" s="96"/>
      <c r="E18" s="96"/>
      <c r="F18" s="96"/>
      <c r="G18" s="96"/>
      <c r="H18" s="96"/>
    </row>
    <row r="19" spans="2:8" ht="30" customHeight="1" x14ac:dyDescent="0.3">
      <c r="B19" s="97" t="s">
        <v>135</v>
      </c>
      <c r="C19" s="97"/>
      <c r="D19" s="97"/>
      <c r="E19" s="97"/>
      <c r="F19" s="97"/>
      <c r="G19" s="97"/>
      <c r="H19" s="97"/>
    </row>
    <row r="20" spans="2:8" ht="7.5" customHeight="1" x14ac:dyDescent="0.3">
      <c r="B20" s="97"/>
      <c r="C20" s="97"/>
      <c r="D20" s="97"/>
      <c r="E20" s="97"/>
      <c r="F20" s="97"/>
      <c r="G20" s="97"/>
      <c r="H20" s="97"/>
    </row>
    <row r="21" spans="2:8" ht="19.5" customHeight="1" x14ac:dyDescent="0.3">
      <c r="B21" s="96" t="s">
        <v>136</v>
      </c>
      <c r="C21" s="96"/>
      <c r="D21" s="96"/>
      <c r="E21" s="96"/>
      <c r="F21" s="96"/>
      <c r="G21" s="96"/>
      <c r="H21" s="96"/>
    </row>
    <row r="22" spans="2:8" ht="30" customHeight="1" x14ac:dyDescent="0.3">
      <c r="B22" s="97" t="s">
        <v>137</v>
      </c>
      <c r="C22" s="97"/>
      <c r="D22" s="97"/>
      <c r="E22" s="97"/>
      <c r="F22" s="97"/>
      <c r="G22" s="97"/>
      <c r="H22" s="97"/>
    </row>
    <row r="23" spans="2:8" ht="7.5" customHeight="1" x14ac:dyDescent="0.3">
      <c r="B23" s="97"/>
      <c r="C23" s="97"/>
      <c r="D23" s="97"/>
      <c r="E23" s="97"/>
      <c r="F23" s="97"/>
      <c r="G23" s="97"/>
      <c r="H23" s="97"/>
    </row>
  </sheetData>
  <mergeCells count="16">
    <mergeCell ref="B22:H23"/>
    <mergeCell ref="B15:H15"/>
    <mergeCell ref="B16:H17"/>
    <mergeCell ref="B18:H18"/>
    <mergeCell ref="B19:H20"/>
    <mergeCell ref="B21:H21"/>
    <mergeCell ref="F7:H7"/>
    <mergeCell ref="F8:H8"/>
    <mergeCell ref="B11:H11"/>
    <mergeCell ref="B12:H12"/>
    <mergeCell ref="B13:H14"/>
    <mergeCell ref="B1:H1"/>
    <mergeCell ref="B2:H2"/>
    <mergeCell ref="F4:H4"/>
    <mergeCell ref="F5:H5"/>
    <mergeCell ref="F6:H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0_Instrucciones</vt:lpstr>
      <vt:lpstr>1_Auto_Duration</vt:lpstr>
      <vt:lpstr>2_Credito_Duration</vt:lpstr>
      <vt:lpstr>3_Comparacion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Karla Eugenia Medina Diaz</cp:lastModifiedBy>
  <cp:revision>0</cp:revision>
  <dcterms:created xsi:type="dcterms:W3CDTF">2026-08-29T16:48:18Z</dcterms:created>
  <dcterms:modified xsi:type="dcterms:W3CDTF">2026-09-03T02:20:56Z</dcterms:modified>
  <dc:language>en-US</dc:language>
</cp:coreProperties>
</file>