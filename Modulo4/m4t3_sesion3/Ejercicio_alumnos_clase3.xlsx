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c1db5119534f48/Documentos/respaldo200825/Clases/DiplomadoML/Modulo4/"/>
    </mc:Choice>
  </mc:AlternateContent>
  <xr:revisionPtr revIDLastSave="12" documentId="8_{4C192E19-C856-4ADD-B5EB-23B8200E4210}" xr6:coauthVersionLast="47" xr6:coauthVersionMax="47" xr10:uidLastSave="{1E1ED2D0-384D-4B42-9041-856E83625652}"/>
  <bookViews>
    <workbookView xWindow="-108" yWindow="-108" windowWidth="23256" windowHeight="12456" activeTab="1" xr2:uid="{EBE4BF15-7C9B-437D-9962-39D9A1B5233E}"/>
  </bookViews>
  <sheets>
    <sheet name="Nombre Equipo" sheetId="3" r:id="rId1"/>
    <sheet name="Triangulo1" sheetId="2" r:id="rId2"/>
    <sheet name="triangulo2 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5" i="3"/>
  <c r="E83" i="2"/>
  <c r="F83" i="2" s="1"/>
  <c r="G83" i="2" s="1"/>
  <c r="H83" i="2" s="1"/>
  <c r="I83" i="2" s="1"/>
  <c r="J83" i="2" s="1"/>
  <c r="K83" i="2" s="1"/>
  <c r="L83" i="2" s="1"/>
  <c r="M83" i="2" s="1"/>
  <c r="N83" i="2" s="1"/>
  <c r="O83" i="2" s="1"/>
  <c r="P83" i="2" s="1"/>
  <c r="Q83" i="2" s="1"/>
  <c r="R83" i="2" s="1"/>
  <c r="S83" i="2" s="1"/>
  <c r="T83" i="2" s="1"/>
  <c r="U83" i="2" s="1"/>
  <c r="V83" i="2" s="1"/>
  <c r="W83" i="2" s="1"/>
  <c r="X83" i="2" s="1"/>
  <c r="Y83" i="2" s="1"/>
  <c r="Z83" i="2" s="1"/>
  <c r="AA83" i="2" s="1"/>
  <c r="B53" i="2"/>
  <c r="E52" i="2" a="1"/>
  <c r="E15" i="2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E83" i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B53" i="1"/>
  <c r="E52" i="1" a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B54" i="2" l="1"/>
  <c r="E53" i="2" a="1"/>
  <c r="E53" i="1" a="1"/>
  <c r="B54" i="1"/>
  <c r="E54" i="2" l="1" a="1"/>
  <c r="B55" i="2"/>
  <c r="E54" i="1" a="1"/>
  <c r="B55" i="1"/>
  <c r="E55" i="2" l="1" a="1"/>
  <c r="B56" i="2"/>
  <c r="E55" i="1" a="1"/>
  <c r="B56" i="1"/>
  <c r="B57" i="2" l="1"/>
  <c r="E56" i="2" a="1"/>
  <c r="E56" i="1" a="1"/>
  <c r="B57" i="1"/>
  <c r="E57" i="2" l="1" a="1"/>
  <c r="B58" i="2"/>
  <c r="E57" i="1" a="1"/>
  <c r="B58" i="1"/>
  <c r="E58" i="2" l="1" a="1"/>
  <c r="B59" i="2"/>
  <c r="E58" i="1" a="1"/>
  <c r="B59" i="1"/>
  <c r="B60" i="2" l="1"/>
  <c r="E59" i="2" a="1"/>
  <c r="E59" i="1" a="1"/>
  <c r="B60" i="1"/>
  <c r="E60" i="2" l="1" a="1"/>
  <c r="B61" i="2"/>
  <c r="E60" i="1" a="1"/>
  <c r="B61" i="1"/>
  <c r="B62" i="2" l="1"/>
  <c r="E61" i="2" a="1"/>
  <c r="E61" i="1" a="1"/>
  <c r="B62" i="1"/>
  <c r="E62" i="2" l="1" a="1"/>
  <c r="B63" i="2"/>
  <c r="E62" i="1" a="1"/>
  <c r="B63" i="1"/>
  <c r="B64" i="2" l="1"/>
  <c r="E63" i="2" a="1"/>
  <c r="E63" i="1" a="1"/>
  <c r="B64" i="1"/>
  <c r="E64" i="2" l="1" a="1"/>
  <c r="B65" i="2"/>
  <c r="E64" i="1" a="1"/>
  <c r="B65" i="1"/>
  <c r="B66" i="2" l="1"/>
  <c r="E65" i="2" a="1"/>
  <c r="E65" i="1" a="1"/>
  <c r="B66" i="1"/>
  <c r="B67" i="2" l="1"/>
  <c r="E66" i="2" a="1"/>
  <c r="E66" i="1" a="1"/>
  <c r="B67" i="1"/>
  <c r="E67" i="2" l="1" a="1"/>
  <c r="B68" i="2"/>
  <c r="B68" i="1"/>
  <c r="E67" i="1" a="1"/>
  <c r="B69" i="2" l="1"/>
  <c r="E68" i="2" a="1"/>
  <c r="E68" i="1" a="1"/>
  <c r="B69" i="1"/>
  <c r="E69" i="2" l="1" a="1"/>
  <c r="B70" i="2"/>
  <c r="B70" i="1"/>
  <c r="E69" i="1" a="1"/>
  <c r="E70" i="2" l="1" a="1"/>
  <c r="B71" i="2"/>
  <c r="B71" i="1"/>
  <c r="E70" i="1" a="1"/>
  <c r="B72" i="2" l="1"/>
  <c r="E71" i="2" a="1"/>
  <c r="E71" i="1" a="1"/>
  <c r="B72" i="1"/>
  <c r="E72" i="2" l="1" a="1"/>
  <c r="B73" i="2"/>
  <c r="E72" i="1" a="1"/>
  <c r="B73" i="1"/>
  <c r="E73" i="2" l="1" a="1"/>
  <c r="B74" i="2"/>
  <c r="B74" i="1"/>
  <c r="E73" i="1" a="1"/>
  <c r="E74" i="2" l="1" a="1"/>
  <c r="B75" i="2"/>
  <c r="E75" i="2" s="1" a="1"/>
  <c r="B75" i="1"/>
  <c r="E75" i="1" s="1" a="1"/>
  <c r="E7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<sst xmlns="http://schemas.openxmlformats.org/spreadsheetml/2006/main" count="1002" uniqueCount="47">
  <si>
    <t>Calcula el IBNR del siguiente triangulo usando Chain Ladder, BF y Cape Cod</t>
  </si>
  <si>
    <t>1. el loss ratio a priori es 55%</t>
  </si>
  <si>
    <t>2. tasas</t>
  </si>
  <si>
    <t>3. tasa de interes 6%</t>
  </si>
  <si>
    <t>Contesta las sig preguntas:</t>
  </si>
  <si>
    <t>1. Qué metodología escogerías para cada trimestre y por qué?</t>
  </si>
  <si>
    <t>2. Excluiste algun periodo para el calculo de lo factores? Di que periodo y en que desarrollo y por qué</t>
  </si>
  <si>
    <t>3. Cómo sale el bakctesting para tu selección de ultimate para los trimestres del 1Q19 al 4Q20?</t>
  </si>
  <si>
    <t>4. Qué duración tiene está cartera?</t>
  </si>
  <si>
    <t>1Q19</t>
  </si>
  <si>
    <t>2Q19</t>
  </si>
  <si>
    <t/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</si>
  <si>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</si>
  <si>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</si>
  <si>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</si>
  <si>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</si>
  <si>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</si>
  <si>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</si>
  <si>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</si>
  <si>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</si>
  <si>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</si>
  <si>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</si>
  <si>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</si>
  <si>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</si>
  <si>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</si>
  <si>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</si>
  <si>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</si>
  <si>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</si>
  <si>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</si>
  <si>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</si>
  <si>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</si>
  <si>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</si>
  <si>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</si>
  <si>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</si>
  <si>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Primas</t>
  </si>
  <si>
    <t>REPORTADO</t>
  </si>
  <si>
    <t>TRIÁNGULO DESARROLLADO AL 31 DE SEPTIEMBRE DE 2026</t>
  </si>
  <si>
    <t>2. tasa de interes 6%</t>
  </si>
  <si>
    <t>ULTIMATE</t>
  </si>
  <si>
    <t>IBNR</t>
  </si>
  <si>
    <t>Chain Ladder</t>
  </si>
  <si>
    <t>BF</t>
  </si>
  <si>
    <t>CC</t>
  </si>
  <si>
    <t>Selección</t>
  </si>
  <si>
    <t>Integrantes del equipo</t>
  </si>
  <si>
    <t>TRIÁNGULO-PAGADO</t>
  </si>
  <si>
    <t>TRIÁNGULO-OCURRIDO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</si>
</sst>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0" fontId="3" fillId="2" borderId="0" xfId="0" applyFont="1" applyFill="1" applyAlignment="1">
      <alignment horizontal="center"/>
    </xf>
    <xf numFmtId="164" fontId="0" fillId="0" borderId="0" xfId="1" applyNumberFormat="1" applyFont="1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10" fontId="0" fillId="0" borderId="0" xfId="2" applyNumberFormat="1" applyFont="1"/>
    <xf numFmtId="164" fontId="0" fillId="4" borderId="0" xfId="1" applyNumberFormat="1" applyFon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23A5-D11A-4968-B386-9AD98FEBBAB4}">
  <dimension ref="C3:C10"/>
  <sheetViews>
    <sheetView showGridLines="0" workbookViewId="0">
      <selection activeCell="C11" sqref="C11"/>
    </sheetView>
  </sheetViews>
  <sheetFormatPr baseColWidth="10" defaultRowHeight="14.4" x14ac:dyDescent="0.3"/>
  <sheetData>
    <row r="3" spans="3:3" ht="18" x14ac:dyDescent="0.35">
      <c r="C3" s="11" t="s">
        <v>44</v>
      </c>
    </row>
    <row r="4" spans="3:3" x14ac:dyDescent="0.3">
      <c r="C4">
        <v>1</v>
      </c>
    </row>
    <row r="5" spans="3:3" x14ac:dyDescent="0.3">
      <c r="C5">
        <f>+C4+1</f>
        <v>2</v>
      </c>
    </row>
    <row r="6" spans="3:3" x14ac:dyDescent="0.3">
      <c r="C6">
        <f t="shared" ref="C6:C10" si="0">+C5+1</f>
        <v>3</v>
      </c>
    </row>
    <row r="7" spans="3:3" x14ac:dyDescent="0.3">
      <c r="C7">
        <f t="shared" si="0"/>
        <v>4</v>
      </c>
    </row>
    <row r="8" spans="3:3" x14ac:dyDescent="0.3">
      <c r="C8">
        <f t="shared" si="0"/>
        <v>5</v>
      </c>
    </row>
    <row r="9" spans="3:3" x14ac:dyDescent="0.3">
      <c r="C9">
        <f t="shared" si="0"/>
        <v>6</v>
      </c>
    </row>
    <row r="10" spans="3:3" x14ac:dyDescent="0.3">
      <c r="C10">
        <f t="shared" si="0"/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89B4-2C61-49EE-AE85-9BA3B66AAD9B}">
  <dimension ref="B2:AA107"/>
  <sheetViews>
    <sheetView showGridLines="0" tabSelected="1" topLeftCell="A105" workbookViewId="0">
      <selection activeCell="D83" sqref="D83:AA83"/>
    </sheetView>
  </sheetViews>
  <sheetFormatPr baseColWidth="10" defaultColWidth="8.88671875" defaultRowHeight="14.4" x14ac:dyDescent="0.3"/>
  <cols>
    <col min="4" max="4" width="14.109375" bestFit="1" customWidth="1"/>
    <col min="5" max="5" width="13.21875" bestFit="1" customWidth="1"/>
    <col min="6" max="8" width="13.109375" bestFit="1" customWidth="1"/>
    <col min="9" max="10" width="14.109375" bestFit="1" customWidth="1"/>
    <col min="11" max="27" width="13.109375" bestFit="1" customWidth="1"/>
  </cols>
  <sheetData>
    <row r="2" spans="3:27" x14ac:dyDescent="0.3">
      <c r="C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3:27" x14ac:dyDescent="0.3"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3:27" x14ac:dyDescent="0.3">
      <c r="D4" s="1" t="s">
        <v>37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3:27" x14ac:dyDescent="0.3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3:27" x14ac:dyDescent="0.3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3:27" x14ac:dyDescent="0.3">
      <c r="C7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3:27" x14ac:dyDescent="0.3">
      <c r="D8" s="1" t="s">
        <v>5</v>
      </c>
    </row>
    <row r="9" spans="3:27" x14ac:dyDescent="0.3">
      <c r="D9" s="1" t="s">
        <v>6</v>
      </c>
    </row>
    <row r="10" spans="3:27" x14ac:dyDescent="0.3">
      <c r="D10" s="1" t="s">
        <v>7</v>
      </c>
    </row>
    <row r="11" spans="3:27" x14ac:dyDescent="0.3">
      <c r="D11" s="1" t="s">
        <v>8</v>
      </c>
    </row>
    <row r="13" spans="3:27" ht="25.8" x14ac:dyDescent="0.5">
      <c r="C13" s="2" t="s">
        <v>45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5" spans="3:27" x14ac:dyDescent="0.3">
      <c r="D15" s="13">
        <v>1</v>
      </c>
      <c r="E15" s="13">
        <f>+D15+1</f>
        <v>2</v>
      </c>
      <c r="F15" s="13">
        <f t="shared" ref="F15:AA15" si="0">+E15+1</f>
        <v>3</v>
      </c>
      <c r="G15" s="13">
        <f t="shared" si="0"/>
        <v>4</v>
      </c>
      <c r="H15" s="13">
        <f t="shared" si="0"/>
        <v>5</v>
      </c>
      <c r="I15" s="13">
        <f t="shared" si="0"/>
        <v>6</v>
      </c>
      <c r="J15" s="13">
        <f t="shared" si="0"/>
        <v>7</v>
      </c>
      <c r="K15" s="13">
        <f t="shared" si="0"/>
        <v>8</v>
      </c>
      <c r="L15" s="13">
        <f t="shared" si="0"/>
        <v>9</v>
      </c>
      <c r="M15" s="13">
        <f t="shared" si="0"/>
        <v>10</v>
      </c>
      <c r="N15" s="13">
        <f t="shared" si="0"/>
        <v>11</v>
      </c>
      <c r="O15" s="13">
        <f t="shared" si="0"/>
        <v>12</v>
      </c>
      <c r="P15" s="13">
        <f t="shared" si="0"/>
        <v>13</v>
      </c>
      <c r="Q15" s="13">
        <f t="shared" si="0"/>
        <v>14</v>
      </c>
      <c r="R15" s="13">
        <f t="shared" si="0"/>
        <v>15</v>
      </c>
      <c r="S15" s="13">
        <f t="shared" si="0"/>
        <v>16</v>
      </c>
      <c r="T15" s="13">
        <f t="shared" si="0"/>
        <v>17</v>
      </c>
      <c r="U15" s="13">
        <f t="shared" si="0"/>
        <v>18</v>
      </c>
      <c r="V15" s="13">
        <f t="shared" si="0"/>
        <v>19</v>
      </c>
      <c r="W15" s="13">
        <f t="shared" si="0"/>
        <v>20</v>
      </c>
      <c r="X15" s="13">
        <f t="shared" si="0"/>
        <v>21</v>
      </c>
      <c r="Y15" s="13">
        <f t="shared" si="0"/>
        <v>22</v>
      </c>
      <c r="Z15" s="13">
        <f t="shared" si="0"/>
        <v>23</v>
      </c>
      <c r="AA15" s="13">
        <f t="shared" si="0"/>
        <v>24</v>
      </c>
    </row>
    <row r="16" spans="3:27" x14ac:dyDescent="0.3">
      <c r="C16" s="10" t="s">
        <v>9</v>
      </c>
      <c r="D16" s="3">
        <v>6418198</v>
      </c>
      <c r="E16" s="3">
        <v>8351947</v>
      </c>
      <c r="F16" s="3">
        <v>9393090</v>
      </c>
      <c r="G16" s="3">
        <v>11183194</v>
      </c>
      <c r="H16" s="3">
        <v>12100800</v>
      </c>
      <c r="I16" s="3">
        <v>12721118</v>
      </c>
      <c r="J16" s="3">
        <v>13073728</v>
      </c>
      <c r="K16" s="3">
        <v>13548698</v>
      </c>
      <c r="L16" s="3">
        <v>13729852</v>
      </c>
      <c r="M16" s="3">
        <v>14178002</v>
      </c>
      <c r="N16" s="3">
        <v>14403018</v>
      </c>
      <c r="O16" s="3">
        <v>14589694</v>
      </c>
      <c r="P16" s="3">
        <v>14666170</v>
      </c>
      <c r="Q16" s="3">
        <v>14699145</v>
      </c>
      <c r="R16" s="3">
        <v>14709918</v>
      </c>
      <c r="S16" s="3">
        <v>14721902</v>
      </c>
      <c r="T16" s="3">
        <v>14723975</v>
      </c>
      <c r="U16" s="3">
        <v>14724778</v>
      </c>
      <c r="V16" s="3">
        <v>14725216</v>
      </c>
      <c r="W16" s="3">
        <v>14725343</v>
      </c>
      <c r="X16" s="3">
        <v>14725356</v>
      </c>
      <c r="Y16" s="3">
        <v>14725361</v>
      </c>
      <c r="Z16" s="3">
        <v>14725369</v>
      </c>
      <c r="AA16" s="3">
        <v>14725385</v>
      </c>
    </row>
    <row r="17" spans="3:27" x14ac:dyDescent="0.3">
      <c r="C17" s="10" t="s">
        <v>10</v>
      </c>
      <c r="D17" s="3">
        <v>7475822</v>
      </c>
      <c r="E17" s="3">
        <v>10450029</v>
      </c>
      <c r="F17" s="3">
        <v>12515657</v>
      </c>
      <c r="G17" s="3">
        <v>13149304</v>
      </c>
      <c r="H17" s="3">
        <v>14417681</v>
      </c>
      <c r="I17" s="3">
        <v>15145227</v>
      </c>
      <c r="J17" s="3">
        <v>15971980</v>
      </c>
      <c r="K17" s="3">
        <v>16442175</v>
      </c>
      <c r="L17" s="3">
        <v>16761977</v>
      </c>
      <c r="M17" s="3">
        <v>17230340</v>
      </c>
      <c r="N17" s="3">
        <v>17479823</v>
      </c>
      <c r="O17" s="3">
        <v>17658472</v>
      </c>
      <c r="P17" s="3">
        <v>17691106</v>
      </c>
      <c r="Q17" s="3">
        <v>17707511</v>
      </c>
      <c r="R17" s="3">
        <v>17727251</v>
      </c>
      <c r="S17" s="3">
        <v>17731572</v>
      </c>
      <c r="T17" s="3">
        <v>17733454</v>
      </c>
      <c r="U17" s="3">
        <v>17734435</v>
      </c>
      <c r="V17" s="3">
        <v>17734974</v>
      </c>
      <c r="W17" s="3">
        <v>17735197</v>
      </c>
      <c r="X17" s="3">
        <v>17735258</v>
      </c>
      <c r="Y17" s="3">
        <v>17735268</v>
      </c>
      <c r="Z17" s="3">
        <v>17735279</v>
      </c>
      <c r="AA17" s="3" t="s">
        <v>11</v>
      </c>
    </row>
    <row r="18" spans="3:27" x14ac:dyDescent="0.3">
      <c r="C18" s="10" t="s">
        <v>12</v>
      </c>
      <c r="D18" s="3">
        <v>4944676</v>
      </c>
      <c r="E18" s="3">
        <v>5651989</v>
      </c>
      <c r="F18" s="3">
        <v>6603749</v>
      </c>
      <c r="G18" s="3">
        <v>7627857</v>
      </c>
      <c r="H18" s="3">
        <v>8503366</v>
      </c>
      <c r="I18" s="3">
        <v>9687265</v>
      </c>
      <c r="J18" s="3">
        <v>10329156</v>
      </c>
      <c r="K18" s="3">
        <v>10705380</v>
      </c>
      <c r="L18" s="3">
        <v>11007279</v>
      </c>
      <c r="M18" s="3">
        <v>11432174</v>
      </c>
      <c r="N18" s="3">
        <v>11644639</v>
      </c>
      <c r="O18" s="3">
        <v>11802250</v>
      </c>
      <c r="P18" s="3">
        <v>11840837</v>
      </c>
      <c r="Q18" s="3">
        <v>11864201</v>
      </c>
      <c r="R18" s="3">
        <v>11873586</v>
      </c>
      <c r="S18" s="3">
        <v>11878223</v>
      </c>
      <c r="T18" s="3">
        <v>11880065</v>
      </c>
      <c r="U18" s="3">
        <v>11880905</v>
      </c>
      <c r="V18" s="3">
        <v>11881492</v>
      </c>
      <c r="W18" s="3">
        <v>11881607</v>
      </c>
      <c r="X18" s="3">
        <v>11881725</v>
      </c>
      <c r="Y18" s="3">
        <v>11881761</v>
      </c>
      <c r="Z18" s="3" t="s">
        <v>11</v>
      </c>
      <c r="AA18" s="3" t="s">
        <v>11</v>
      </c>
    </row>
    <row r="19" spans="3:27" x14ac:dyDescent="0.3">
      <c r="C19" s="10" t="s">
        <v>13</v>
      </c>
      <c r="D19" s="3">
        <v>5990844</v>
      </c>
      <c r="E19" s="3">
        <v>12990844</v>
      </c>
      <c r="F19" s="3">
        <v>14795084</v>
      </c>
      <c r="G19" s="3">
        <v>15558421</v>
      </c>
      <c r="H19" s="3">
        <v>16698078</v>
      </c>
      <c r="I19" s="3">
        <v>17591115</v>
      </c>
      <c r="J19" s="3">
        <v>17858613</v>
      </c>
      <c r="K19" s="3">
        <v>18161498</v>
      </c>
      <c r="L19" s="3">
        <v>18751439</v>
      </c>
      <c r="M19" s="3">
        <v>18855100</v>
      </c>
      <c r="N19" s="3">
        <v>19152179</v>
      </c>
      <c r="O19" s="3">
        <v>19349458</v>
      </c>
      <c r="P19" s="3">
        <v>19426010</v>
      </c>
      <c r="Q19" s="3">
        <v>19444545</v>
      </c>
      <c r="R19" s="3">
        <v>19453256</v>
      </c>
      <c r="S19" s="3">
        <v>19457999</v>
      </c>
      <c r="T19" s="3">
        <v>19459976</v>
      </c>
      <c r="U19" s="3">
        <v>19461146</v>
      </c>
      <c r="V19" s="3">
        <v>19461559</v>
      </c>
      <c r="W19" s="3">
        <v>19461649</v>
      </c>
      <c r="X19" s="3">
        <v>19461650</v>
      </c>
      <c r="Y19" s="3" t="s">
        <v>11</v>
      </c>
      <c r="Z19" s="3" t="s">
        <v>11</v>
      </c>
      <c r="AA19" s="3" t="s">
        <v>11</v>
      </c>
    </row>
    <row r="20" spans="3:27" x14ac:dyDescent="0.3">
      <c r="C20" s="10" t="s">
        <v>14</v>
      </c>
      <c r="D20" s="3">
        <v>6106533</v>
      </c>
      <c r="E20" s="3">
        <v>7227067</v>
      </c>
      <c r="F20" s="3">
        <v>8316481</v>
      </c>
      <c r="G20" s="3">
        <v>8778769</v>
      </c>
      <c r="H20" s="3">
        <v>9616196</v>
      </c>
      <c r="I20" s="3">
        <v>9944940</v>
      </c>
      <c r="J20" s="3">
        <v>10596973</v>
      </c>
      <c r="K20" s="3">
        <v>10938865</v>
      </c>
      <c r="L20" s="3">
        <v>11091033</v>
      </c>
      <c r="M20" s="3">
        <v>11574757</v>
      </c>
      <c r="N20" s="3">
        <v>11660948</v>
      </c>
      <c r="O20" s="3">
        <v>11754449</v>
      </c>
      <c r="P20" s="3">
        <v>11785976</v>
      </c>
      <c r="Q20" s="3">
        <v>11801623</v>
      </c>
      <c r="R20" s="3">
        <v>11808422</v>
      </c>
      <c r="S20" s="3">
        <v>11812430</v>
      </c>
      <c r="T20" s="3">
        <v>11814677</v>
      </c>
      <c r="U20" s="3">
        <v>11815553</v>
      </c>
      <c r="V20" s="3">
        <v>11815994</v>
      </c>
      <c r="W20" s="3">
        <v>11816173</v>
      </c>
      <c r="X20" s="3" t="s">
        <v>11</v>
      </c>
      <c r="Y20" s="3" t="s">
        <v>11</v>
      </c>
      <c r="Z20" s="3" t="s">
        <v>11</v>
      </c>
      <c r="AA20" s="3" t="s">
        <v>11</v>
      </c>
    </row>
    <row r="21" spans="3:27" x14ac:dyDescent="0.3">
      <c r="C21" s="10" t="s">
        <v>15</v>
      </c>
      <c r="D21" s="3">
        <v>3511339</v>
      </c>
      <c r="E21" s="3">
        <v>5097855</v>
      </c>
      <c r="F21" s="3">
        <v>6037374</v>
      </c>
      <c r="G21" s="3">
        <v>6436248</v>
      </c>
      <c r="H21" s="3">
        <v>7366573</v>
      </c>
      <c r="I21" s="3">
        <v>8575992</v>
      </c>
      <c r="J21" s="3">
        <v>9082448</v>
      </c>
      <c r="K21" s="3">
        <v>12082448</v>
      </c>
      <c r="L21" s="3">
        <v>12687409</v>
      </c>
      <c r="M21" s="3">
        <v>12838372</v>
      </c>
      <c r="N21" s="3">
        <v>12930641</v>
      </c>
      <c r="O21" s="3">
        <v>12990612</v>
      </c>
      <c r="P21" s="3">
        <v>13017211</v>
      </c>
      <c r="Q21" s="3">
        <v>13032985</v>
      </c>
      <c r="R21" s="3">
        <v>13041104</v>
      </c>
      <c r="S21" s="3">
        <v>13045224</v>
      </c>
      <c r="T21" s="3">
        <v>13046906</v>
      </c>
      <c r="U21" s="3">
        <v>13047997</v>
      </c>
      <c r="V21" s="3">
        <v>13048471</v>
      </c>
      <c r="W21" s="3" t="s">
        <v>11</v>
      </c>
      <c r="X21" s="3" t="s">
        <v>11</v>
      </c>
      <c r="Y21" s="3" t="s">
        <v>11</v>
      </c>
      <c r="Z21" s="3" t="s">
        <v>11</v>
      </c>
      <c r="AA21" s="3" t="s">
        <v>11</v>
      </c>
    </row>
    <row r="22" spans="3:27" x14ac:dyDescent="0.3">
      <c r="C22" s="10" t="s">
        <v>16</v>
      </c>
      <c r="D22" s="3">
        <v>4141271</v>
      </c>
      <c r="E22" s="3">
        <v>5675304</v>
      </c>
      <c r="F22" s="3">
        <v>6514051</v>
      </c>
      <c r="G22" s="3">
        <v>7799341</v>
      </c>
      <c r="H22" s="3">
        <v>8118940</v>
      </c>
      <c r="I22" s="3">
        <v>8328067</v>
      </c>
      <c r="J22" s="3">
        <v>9073367</v>
      </c>
      <c r="K22" s="3">
        <v>9580777</v>
      </c>
      <c r="L22" s="3">
        <v>10084545</v>
      </c>
      <c r="M22" s="3">
        <v>10574369</v>
      </c>
      <c r="N22" s="3">
        <v>10704764</v>
      </c>
      <c r="O22" s="3">
        <v>10779530</v>
      </c>
      <c r="P22" s="3">
        <v>10810916</v>
      </c>
      <c r="Q22" s="3">
        <v>10825407</v>
      </c>
      <c r="R22" s="3">
        <v>10831969</v>
      </c>
      <c r="S22" s="3">
        <v>10836654</v>
      </c>
      <c r="T22" s="3">
        <v>10839043</v>
      </c>
      <c r="U22" s="3">
        <v>10840140</v>
      </c>
      <c r="V22" s="3" t="s">
        <v>11</v>
      </c>
      <c r="W22" s="3" t="s">
        <v>11</v>
      </c>
      <c r="X22" s="3" t="s">
        <v>11</v>
      </c>
      <c r="Y22" s="3" t="s">
        <v>11</v>
      </c>
      <c r="Z22" s="3" t="s">
        <v>11</v>
      </c>
      <c r="AA22" s="3" t="s">
        <v>11</v>
      </c>
    </row>
    <row r="23" spans="3:27" x14ac:dyDescent="0.3">
      <c r="C23" s="10" t="s">
        <v>17</v>
      </c>
      <c r="D23" s="3">
        <v>6591656</v>
      </c>
      <c r="E23" s="3">
        <v>9149839</v>
      </c>
      <c r="F23" s="3">
        <v>9876574</v>
      </c>
      <c r="G23" s="3">
        <v>11324778</v>
      </c>
      <c r="H23" s="3">
        <v>11791969</v>
      </c>
      <c r="I23" s="3">
        <v>12446387</v>
      </c>
      <c r="J23" s="3">
        <v>12820241</v>
      </c>
      <c r="K23" s="3">
        <v>13419392</v>
      </c>
      <c r="L23" s="3">
        <v>13586619</v>
      </c>
      <c r="M23" s="3">
        <v>13861205</v>
      </c>
      <c r="N23" s="3">
        <v>13987078</v>
      </c>
      <c r="O23" s="3">
        <v>14043493</v>
      </c>
      <c r="P23" s="3">
        <v>14079323</v>
      </c>
      <c r="Q23" s="3">
        <v>14095393</v>
      </c>
      <c r="R23" s="3">
        <v>14104571</v>
      </c>
      <c r="S23" s="3">
        <v>14109322</v>
      </c>
      <c r="T23" s="3">
        <v>14111136</v>
      </c>
      <c r="U23" s="3" t="s">
        <v>11</v>
      </c>
      <c r="V23" s="3" t="s">
        <v>11</v>
      </c>
      <c r="W23" s="3" t="s">
        <v>11</v>
      </c>
      <c r="X23" s="3" t="s">
        <v>11</v>
      </c>
      <c r="Y23" s="3" t="s">
        <v>11</v>
      </c>
      <c r="Z23" s="3" t="s">
        <v>11</v>
      </c>
      <c r="AA23" s="3" t="s">
        <v>11</v>
      </c>
    </row>
    <row r="24" spans="3:27" x14ac:dyDescent="0.3">
      <c r="C24" s="10" t="s">
        <v>18</v>
      </c>
      <c r="D24" s="3">
        <v>6289704</v>
      </c>
      <c r="E24" s="3">
        <v>9074583</v>
      </c>
      <c r="F24" s="3">
        <v>11031640</v>
      </c>
      <c r="G24" s="3">
        <v>12328713</v>
      </c>
      <c r="H24" s="3">
        <v>12743016</v>
      </c>
      <c r="I24" s="3">
        <v>13716063</v>
      </c>
      <c r="J24" s="3">
        <v>13936735</v>
      </c>
      <c r="K24" s="3">
        <v>14684360</v>
      </c>
      <c r="L24" s="3">
        <v>15224487</v>
      </c>
      <c r="M24" s="3">
        <v>15505624</v>
      </c>
      <c r="N24" s="3">
        <v>15616491</v>
      </c>
      <c r="O24" s="3">
        <v>15669883</v>
      </c>
      <c r="P24" s="3">
        <v>15701026</v>
      </c>
      <c r="Q24" s="3">
        <v>15717007</v>
      </c>
      <c r="R24" s="3">
        <v>15725357</v>
      </c>
      <c r="S24" s="3">
        <v>15729334</v>
      </c>
      <c r="T24" s="3" t="s">
        <v>11</v>
      </c>
      <c r="U24" s="3" t="s">
        <v>11</v>
      </c>
      <c r="V24" s="3" t="s">
        <v>11</v>
      </c>
      <c r="W24" s="3" t="s">
        <v>11</v>
      </c>
      <c r="X24" s="3" t="s">
        <v>11</v>
      </c>
      <c r="Y24" s="3" t="s">
        <v>11</v>
      </c>
      <c r="Z24" s="3" t="s">
        <v>11</v>
      </c>
      <c r="AA24" s="3" t="s">
        <v>11</v>
      </c>
    </row>
    <row r="25" spans="3:27" x14ac:dyDescent="0.3">
      <c r="C25" s="10" t="s">
        <v>19</v>
      </c>
      <c r="D25" s="3">
        <v>4959185</v>
      </c>
      <c r="E25" s="3">
        <v>7332815</v>
      </c>
      <c r="F25" s="3">
        <v>8942057</v>
      </c>
      <c r="G25" s="3">
        <v>10413724</v>
      </c>
      <c r="H25" s="3">
        <v>11109326</v>
      </c>
      <c r="I25" s="3">
        <v>11743877</v>
      </c>
      <c r="J25" s="3">
        <v>12264947</v>
      </c>
      <c r="K25" s="3">
        <v>13331758</v>
      </c>
      <c r="L25" s="3">
        <v>13881470</v>
      </c>
      <c r="M25" s="3">
        <v>14105853</v>
      </c>
      <c r="N25" s="3">
        <v>14231236</v>
      </c>
      <c r="O25" s="3">
        <v>14285043</v>
      </c>
      <c r="P25" s="3">
        <v>14317196</v>
      </c>
      <c r="Q25" s="3">
        <v>14335249</v>
      </c>
      <c r="R25" s="3">
        <v>14343596</v>
      </c>
      <c r="S25" s="3" t="s">
        <v>11</v>
      </c>
      <c r="T25" s="3" t="s">
        <v>11</v>
      </c>
      <c r="U25" s="3" t="s">
        <v>11</v>
      </c>
      <c r="V25" s="3" t="s">
        <v>11</v>
      </c>
      <c r="W25" s="3" t="s">
        <v>11</v>
      </c>
      <c r="X25" s="3" t="s">
        <v>11</v>
      </c>
      <c r="Y25" s="3" t="s">
        <v>11</v>
      </c>
      <c r="Z25" s="3" t="s">
        <v>11</v>
      </c>
      <c r="AA25" s="3" t="s">
        <v>11</v>
      </c>
    </row>
    <row r="26" spans="3:27" x14ac:dyDescent="0.3">
      <c r="C26" s="10" t="s">
        <v>20</v>
      </c>
      <c r="D26" s="3">
        <v>6194048</v>
      </c>
      <c r="E26" s="3">
        <v>7741218</v>
      </c>
      <c r="F26" s="3">
        <v>9386858</v>
      </c>
      <c r="G26" s="3">
        <v>9734366</v>
      </c>
      <c r="H26" s="3">
        <v>10964336</v>
      </c>
      <c r="I26" s="3">
        <v>11346897</v>
      </c>
      <c r="J26" s="3">
        <v>13064544</v>
      </c>
      <c r="K26" s="3">
        <v>14121948</v>
      </c>
      <c r="L26" s="3">
        <v>14605429</v>
      </c>
      <c r="M26" s="3">
        <v>14862271</v>
      </c>
      <c r="N26" s="3">
        <v>15012968</v>
      </c>
      <c r="O26" s="3">
        <v>15074585</v>
      </c>
      <c r="P26" s="3">
        <v>15104696</v>
      </c>
      <c r="Q26" s="3">
        <v>15119935</v>
      </c>
      <c r="R26" s="3" t="s">
        <v>11</v>
      </c>
      <c r="S26" s="3" t="s">
        <v>11</v>
      </c>
      <c r="T26" s="3" t="s">
        <v>11</v>
      </c>
      <c r="U26" s="3" t="s">
        <v>11</v>
      </c>
      <c r="V26" s="3" t="s">
        <v>11</v>
      </c>
      <c r="W26" s="3" t="s">
        <v>11</v>
      </c>
      <c r="X26" s="3" t="s">
        <v>11</v>
      </c>
      <c r="Y26" s="3" t="s">
        <v>11</v>
      </c>
      <c r="Z26" s="3" t="s">
        <v>11</v>
      </c>
      <c r="AA26" s="3" t="s">
        <v>11</v>
      </c>
    </row>
    <row r="27" spans="3:27" x14ac:dyDescent="0.3">
      <c r="C27" s="10" t="s">
        <v>21</v>
      </c>
      <c r="D27" s="3">
        <v>6500694</v>
      </c>
      <c r="E27" s="3">
        <v>9436157</v>
      </c>
      <c r="F27" s="3">
        <v>11552953</v>
      </c>
      <c r="G27" s="3">
        <v>12130358</v>
      </c>
      <c r="H27" s="3">
        <v>13369514</v>
      </c>
      <c r="I27" s="3">
        <v>15030308</v>
      </c>
      <c r="J27" s="3">
        <v>16697100</v>
      </c>
      <c r="K27" s="3">
        <v>17828453</v>
      </c>
      <c r="L27" s="3">
        <v>18294564</v>
      </c>
      <c r="M27" s="3">
        <v>18522862</v>
      </c>
      <c r="N27" s="3">
        <v>18641988</v>
      </c>
      <c r="O27" s="3">
        <v>18693587</v>
      </c>
      <c r="P27" s="3">
        <v>18730024</v>
      </c>
      <c r="Q27" s="3" t="s">
        <v>11</v>
      </c>
      <c r="R27" s="3" t="s">
        <v>11</v>
      </c>
      <c r="S27" s="3" t="s">
        <v>11</v>
      </c>
      <c r="T27" s="3" t="s">
        <v>11</v>
      </c>
      <c r="U27" s="3" t="s">
        <v>11</v>
      </c>
      <c r="V27" s="3" t="s">
        <v>11</v>
      </c>
      <c r="W27" s="3" t="s">
        <v>11</v>
      </c>
      <c r="X27" s="3" t="s">
        <v>11</v>
      </c>
      <c r="Y27" s="3" t="s">
        <v>11</v>
      </c>
      <c r="Z27" s="3" t="s">
        <v>11</v>
      </c>
      <c r="AA27" s="3" t="s">
        <v>11</v>
      </c>
    </row>
    <row r="28" spans="3:27" x14ac:dyDescent="0.3">
      <c r="C28" s="10" t="s">
        <v>22</v>
      </c>
      <c r="D28" s="3">
        <v>5205434</v>
      </c>
      <c r="E28" s="3">
        <v>7752400</v>
      </c>
      <c r="F28" s="3">
        <v>9411446</v>
      </c>
      <c r="G28" s="3">
        <v>10805763</v>
      </c>
      <c r="H28" s="3">
        <v>13284336</v>
      </c>
      <c r="I28" s="3">
        <v>15384835</v>
      </c>
      <c r="J28" s="3">
        <v>17438864</v>
      </c>
      <c r="K28" s="3">
        <v>18514044</v>
      </c>
      <c r="L28" s="3">
        <v>19125680</v>
      </c>
      <c r="M28" s="3">
        <v>19431036</v>
      </c>
      <c r="N28" s="3">
        <v>19572822</v>
      </c>
      <c r="O28" s="3">
        <v>19627354</v>
      </c>
      <c r="P28" s="3" t="s">
        <v>11</v>
      </c>
      <c r="Q28" s="3" t="s">
        <v>11</v>
      </c>
      <c r="R28" s="3" t="s">
        <v>11</v>
      </c>
      <c r="S28" s="3" t="s">
        <v>11</v>
      </c>
      <c r="T28" s="3" t="s">
        <v>11</v>
      </c>
      <c r="U28" s="3" t="s">
        <v>11</v>
      </c>
      <c r="V28" s="3" t="s">
        <v>11</v>
      </c>
      <c r="W28" s="3" t="s">
        <v>11</v>
      </c>
      <c r="X28" s="3" t="s">
        <v>11</v>
      </c>
      <c r="Y28" s="3" t="s">
        <v>11</v>
      </c>
      <c r="Z28" s="3" t="s">
        <v>11</v>
      </c>
      <c r="AA28" s="3" t="s">
        <v>11</v>
      </c>
    </row>
    <row r="29" spans="3:27" x14ac:dyDescent="0.3">
      <c r="C29" s="10" t="s">
        <v>23</v>
      </c>
      <c r="D29" s="3">
        <v>5184519</v>
      </c>
      <c r="E29" s="3">
        <v>7275135</v>
      </c>
      <c r="F29" s="3">
        <v>7974797</v>
      </c>
      <c r="G29" s="3">
        <v>11597296</v>
      </c>
      <c r="H29" s="3">
        <v>14585912</v>
      </c>
      <c r="I29" s="3">
        <v>16285147</v>
      </c>
      <c r="J29" s="3">
        <v>18338971</v>
      </c>
      <c r="K29" s="3">
        <v>19214501</v>
      </c>
      <c r="L29" s="3">
        <v>19700684</v>
      </c>
      <c r="M29" s="3">
        <v>19926910</v>
      </c>
      <c r="N29" s="3">
        <v>20049671</v>
      </c>
      <c r="O29" s="3" t="s">
        <v>11</v>
      </c>
      <c r="P29" s="3" t="s">
        <v>11</v>
      </c>
      <c r="Q29" s="3" t="s">
        <v>11</v>
      </c>
      <c r="R29" s="3" t="s">
        <v>11</v>
      </c>
      <c r="S29" s="3" t="s">
        <v>11</v>
      </c>
      <c r="T29" s="3" t="s">
        <v>11</v>
      </c>
      <c r="U29" s="3" t="s">
        <v>11</v>
      </c>
      <c r="V29" s="3" t="s">
        <v>11</v>
      </c>
      <c r="W29" s="3" t="s">
        <v>11</v>
      </c>
      <c r="X29" s="3" t="s">
        <v>11</v>
      </c>
      <c r="Y29" s="3" t="s">
        <v>11</v>
      </c>
      <c r="Z29" s="3" t="s">
        <v>11</v>
      </c>
      <c r="AA29" s="3" t="s">
        <v>11</v>
      </c>
    </row>
    <row r="30" spans="3:27" x14ac:dyDescent="0.3">
      <c r="C30" s="10" t="s">
        <v>24</v>
      </c>
      <c r="D30" s="3">
        <v>3419011</v>
      </c>
      <c r="E30" s="3">
        <v>4773306</v>
      </c>
      <c r="F30" s="3">
        <v>8697825</v>
      </c>
      <c r="G30" s="3">
        <v>12220494</v>
      </c>
      <c r="H30" s="3">
        <v>14462971</v>
      </c>
      <c r="I30" s="3">
        <v>16656668</v>
      </c>
      <c r="J30" s="3">
        <v>19017438</v>
      </c>
      <c r="K30" s="3">
        <v>19939378</v>
      </c>
      <c r="L30" s="3">
        <v>20384099</v>
      </c>
      <c r="M30" s="3">
        <v>20688336</v>
      </c>
      <c r="N30" s="3" t="s">
        <v>11</v>
      </c>
      <c r="O30" s="3" t="s">
        <v>11</v>
      </c>
      <c r="P30" s="3" t="s">
        <v>11</v>
      </c>
      <c r="Q30" s="3" t="s">
        <v>11</v>
      </c>
      <c r="R30" s="3" t="s">
        <v>11</v>
      </c>
      <c r="S30" s="3" t="s">
        <v>11</v>
      </c>
      <c r="T30" s="3" t="s">
        <v>11</v>
      </c>
      <c r="U30" s="3" t="s">
        <v>11</v>
      </c>
      <c r="V30" s="3" t="s">
        <v>11</v>
      </c>
      <c r="W30" s="3" t="s">
        <v>11</v>
      </c>
      <c r="X30" s="3" t="s">
        <v>11</v>
      </c>
      <c r="Y30" s="3" t="s">
        <v>11</v>
      </c>
      <c r="Z30" s="3" t="s">
        <v>11</v>
      </c>
      <c r="AA30" s="3" t="s">
        <v>11</v>
      </c>
    </row>
    <row r="31" spans="3:27" x14ac:dyDescent="0.3">
      <c r="C31" s="10" t="s">
        <v>25</v>
      </c>
      <c r="D31" s="3">
        <v>5498188</v>
      </c>
      <c r="E31" s="3">
        <v>10669557</v>
      </c>
      <c r="F31" s="3">
        <v>14420577</v>
      </c>
      <c r="G31" s="3">
        <v>17838126</v>
      </c>
      <c r="H31" s="3">
        <v>20243242</v>
      </c>
      <c r="I31" s="3">
        <v>22179116</v>
      </c>
      <c r="J31" s="3">
        <v>24155749</v>
      </c>
      <c r="K31" s="3">
        <v>25145296</v>
      </c>
      <c r="L31" s="3">
        <v>25647723</v>
      </c>
      <c r="M31" s="3" t="s">
        <v>11</v>
      </c>
      <c r="N31" s="3" t="s">
        <v>11</v>
      </c>
      <c r="O31" s="3" t="s">
        <v>11</v>
      </c>
      <c r="P31" s="3" t="s">
        <v>11</v>
      </c>
      <c r="Q31" s="3" t="s">
        <v>11</v>
      </c>
      <c r="R31" s="3" t="s">
        <v>11</v>
      </c>
      <c r="S31" s="3" t="s">
        <v>11</v>
      </c>
      <c r="T31" s="3" t="s">
        <v>11</v>
      </c>
      <c r="U31" s="3" t="s">
        <v>11</v>
      </c>
      <c r="V31" s="3" t="s">
        <v>11</v>
      </c>
      <c r="W31" s="3" t="s">
        <v>11</v>
      </c>
      <c r="X31" s="3" t="s">
        <v>11</v>
      </c>
      <c r="Y31" s="3" t="s">
        <v>11</v>
      </c>
      <c r="Z31" s="3" t="s">
        <v>11</v>
      </c>
      <c r="AA31" s="3" t="s">
        <v>11</v>
      </c>
    </row>
    <row r="32" spans="3:27" x14ac:dyDescent="0.3">
      <c r="C32" s="10" t="s">
        <v>26</v>
      </c>
      <c r="D32" s="3">
        <v>6382667</v>
      </c>
      <c r="E32" s="3">
        <v>10460689</v>
      </c>
      <c r="F32" s="3">
        <v>15242265</v>
      </c>
      <c r="G32" s="3">
        <v>19075882</v>
      </c>
      <c r="H32" s="3">
        <v>21908553</v>
      </c>
      <c r="I32" s="3">
        <v>23938666</v>
      </c>
      <c r="J32" s="3">
        <v>25653115</v>
      </c>
      <c r="K32" s="3">
        <v>26811464</v>
      </c>
      <c r="L32" s="3" t="s">
        <v>11</v>
      </c>
      <c r="M32" s="3" t="s">
        <v>11</v>
      </c>
      <c r="N32" s="3" t="s">
        <v>11</v>
      </c>
      <c r="O32" s="3" t="s">
        <v>11</v>
      </c>
      <c r="P32" s="3" t="s">
        <v>11</v>
      </c>
      <c r="Q32" s="3" t="s">
        <v>11</v>
      </c>
      <c r="R32" s="3" t="s">
        <v>11</v>
      </c>
      <c r="S32" s="3" t="s">
        <v>11</v>
      </c>
      <c r="T32" s="3" t="s">
        <v>11</v>
      </c>
      <c r="U32" s="3" t="s">
        <v>11</v>
      </c>
      <c r="V32" s="3" t="s">
        <v>11</v>
      </c>
      <c r="W32" s="3" t="s">
        <v>11</v>
      </c>
      <c r="X32" s="3" t="s">
        <v>11</v>
      </c>
      <c r="Y32" s="3" t="s">
        <v>11</v>
      </c>
      <c r="Z32" s="3" t="s">
        <v>11</v>
      </c>
      <c r="AA32" s="3" t="s">
        <v>11</v>
      </c>
    </row>
    <row r="33" spans="3:27" x14ac:dyDescent="0.3">
      <c r="C33" s="10" t="s">
        <v>27</v>
      </c>
      <c r="D33" s="3">
        <v>3022770</v>
      </c>
      <c r="E33" s="3">
        <v>7899209</v>
      </c>
      <c r="F33" s="3">
        <v>11259161</v>
      </c>
      <c r="G33" s="3">
        <v>14497513</v>
      </c>
      <c r="H33" s="3">
        <v>17221120</v>
      </c>
      <c r="I33" s="3">
        <v>19234288</v>
      </c>
      <c r="J33" s="3">
        <v>21399003</v>
      </c>
      <c r="K33" s="3" t="s">
        <v>11</v>
      </c>
      <c r="L33" s="3" t="s">
        <v>11</v>
      </c>
      <c r="M33" s="3" t="s">
        <v>11</v>
      </c>
      <c r="N33" s="3" t="s">
        <v>11</v>
      </c>
      <c r="O33" s="3" t="s">
        <v>11</v>
      </c>
      <c r="P33" s="3" t="s">
        <v>11</v>
      </c>
      <c r="Q33" s="3" t="s">
        <v>11</v>
      </c>
      <c r="R33" s="3" t="s">
        <v>11</v>
      </c>
      <c r="S33" s="3" t="s">
        <v>11</v>
      </c>
      <c r="T33" s="3" t="s">
        <v>11</v>
      </c>
      <c r="U33" s="3" t="s">
        <v>11</v>
      </c>
      <c r="V33" s="3" t="s">
        <v>11</v>
      </c>
      <c r="W33" s="3" t="s">
        <v>11</v>
      </c>
      <c r="X33" s="3" t="s">
        <v>11</v>
      </c>
      <c r="Y33" s="3" t="s">
        <v>11</v>
      </c>
      <c r="Z33" s="3" t="s">
        <v>11</v>
      </c>
      <c r="AA33" s="3" t="s">
        <v>11</v>
      </c>
    </row>
    <row r="34" spans="3:27" x14ac:dyDescent="0.3">
      <c r="C34" s="10" t="s">
        <v>28</v>
      </c>
      <c r="D34" s="3">
        <v>6936281</v>
      </c>
      <c r="E34" s="3">
        <v>21936281</v>
      </c>
      <c r="F34" s="3">
        <v>25150070</v>
      </c>
      <c r="G34" s="3">
        <v>28898330</v>
      </c>
      <c r="H34" s="3">
        <v>31903741</v>
      </c>
      <c r="I34" s="3">
        <v>33589263</v>
      </c>
      <c r="J34" s="3" t="s">
        <v>11</v>
      </c>
      <c r="K34" s="3" t="s">
        <v>11</v>
      </c>
      <c r="L34" s="3" t="s">
        <v>11</v>
      </c>
      <c r="M34" s="3" t="s">
        <v>11</v>
      </c>
      <c r="N34" s="3" t="s">
        <v>11</v>
      </c>
      <c r="O34" s="3" t="s">
        <v>11</v>
      </c>
      <c r="P34" s="3" t="s">
        <v>11</v>
      </c>
      <c r="Q34" s="3" t="s">
        <v>11</v>
      </c>
      <c r="R34" s="3" t="s">
        <v>11</v>
      </c>
      <c r="S34" s="3" t="s">
        <v>11</v>
      </c>
      <c r="T34" s="3" t="s">
        <v>11</v>
      </c>
      <c r="U34" s="3" t="s">
        <v>11</v>
      </c>
      <c r="V34" s="3" t="s">
        <v>11</v>
      </c>
      <c r="W34" s="3" t="s">
        <v>11</v>
      </c>
      <c r="X34" s="3" t="s">
        <v>11</v>
      </c>
      <c r="Y34" s="3" t="s">
        <v>11</v>
      </c>
      <c r="Z34" s="3" t="s">
        <v>11</v>
      </c>
      <c r="AA34" s="3" t="s">
        <v>11</v>
      </c>
    </row>
    <row r="35" spans="3:27" x14ac:dyDescent="0.3">
      <c r="C35" s="10" t="s">
        <v>29</v>
      </c>
      <c r="D35" s="3">
        <v>6691248</v>
      </c>
      <c r="E35" s="3">
        <v>11756013</v>
      </c>
      <c r="F35" s="3">
        <v>15391294</v>
      </c>
      <c r="G35" s="3">
        <v>18736499</v>
      </c>
      <c r="H35" s="3">
        <v>21705785</v>
      </c>
      <c r="I35" s="3" t="s">
        <v>11</v>
      </c>
      <c r="J35" s="3" t="s">
        <v>11</v>
      </c>
      <c r="K35" s="3" t="s">
        <v>11</v>
      </c>
      <c r="L35" s="3" t="s">
        <v>11</v>
      </c>
      <c r="M35" s="3" t="s">
        <v>11</v>
      </c>
      <c r="N35" s="3" t="s">
        <v>11</v>
      </c>
      <c r="O35" s="3" t="s">
        <v>11</v>
      </c>
      <c r="P35" s="3" t="s">
        <v>11</v>
      </c>
      <c r="Q35" s="3" t="s">
        <v>11</v>
      </c>
      <c r="R35" s="3" t="s">
        <v>11</v>
      </c>
      <c r="S35" s="3" t="s">
        <v>11</v>
      </c>
      <c r="T35" s="3" t="s">
        <v>11</v>
      </c>
      <c r="U35" s="3" t="s">
        <v>11</v>
      </c>
      <c r="V35" s="3" t="s">
        <v>11</v>
      </c>
      <c r="W35" s="3" t="s">
        <v>11</v>
      </c>
      <c r="X35" s="3" t="s">
        <v>11</v>
      </c>
      <c r="Y35" s="3" t="s">
        <v>11</v>
      </c>
      <c r="Z35" s="3" t="s">
        <v>11</v>
      </c>
      <c r="AA35" s="3" t="s">
        <v>11</v>
      </c>
    </row>
    <row r="36" spans="3:27" x14ac:dyDescent="0.3">
      <c r="C36" s="10" t="s">
        <v>30</v>
      </c>
      <c r="D36" s="3">
        <v>4191817</v>
      </c>
      <c r="E36" s="3">
        <v>9775450</v>
      </c>
      <c r="F36" s="3">
        <v>14374440</v>
      </c>
      <c r="G36" s="3">
        <v>17306094</v>
      </c>
      <c r="H36" s="3" t="s">
        <v>11</v>
      </c>
      <c r="I36" s="3" t="s">
        <v>11</v>
      </c>
      <c r="J36" s="3" t="s">
        <v>11</v>
      </c>
      <c r="K36" s="3" t="s">
        <v>11</v>
      </c>
      <c r="L36" s="3" t="s">
        <v>11</v>
      </c>
      <c r="M36" s="3" t="s">
        <v>11</v>
      </c>
      <c r="N36" s="3" t="s">
        <v>11</v>
      </c>
      <c r="O36" s="3" t="s">
        <v>11</v>
      </c>
      <c r="P36" s="3" t="s">
        <v>11</v>
      </c>
      <c r="Q36" s="3" t="s">
        <v>11</v>
      </c>
      <c r="R36" s="3" t="s">
        <v>11</v>
      </c>
      <c r="S36" s="3" t="s">
        <v>11</v>
      </c>
      <c r="T36" s="3" t="s">
        <v>11</v>
      </c>
      <c r="U36" s="3" t="s">
        <v>11</v>
      </c>
      <c r="V36" s="3" t="s">
        <v>11</v>
      </c>
      <c r="W36" s="3" t="s">
        <v>11</v>
      </c>
      <c r="X36" s="3" t="s">
        <v>11</v>
      </c>
      <c r="Y36" s="3" t="s">
        <v>11</v>
      </c>
      <c r="Z36" s="3" t="s">
        <v>11</v>
      </c>
      <c r="AA36" s="3" t="s">
        <v>11</v>
      </c>
    </row>
    <row r="37" spans="3:27" x14ac:dyDescent="0.3">
      <c r="C37" s="10" t="s">
        <v>31</v>
      </c>
      <c r="D37" s="3">
        <v>5916671</v>
      </c>
      <c r="E37" s="3">
        <v>11716355</v>
      </c>
      <c r="F37" s="3">
        <v>15374462</v>
      </c>
      <c r="G37" s="3" t="s">
        <v>11</v>
      </c>
      <c r="H37" s="3" t="s">
        <v>11</v>
      </c>
      <c r="I37" s="3" t="s">
        <v>11</v>
      </c>
      <c r="J37" s="3" t="s">
        <v>11</v>
      </c>
      <c r="K37" s="3" t="s">
        <v>11</v>
      </c>
      <c r="L37" s="3" t="s">
        <v>11</v>
      </c>
      <c r="M37" s="3" t="s">
        <v>11</v>
      </c>
      <c r="N37" s="3" t="s">
        <v>11</v>
      </c>
      <c r="O37" s="3" t="s">
        <v>11</v>
      </c>
      <c r="P37" s="3" t="s">
        <v>11</v>
      </c>
      <c r="Q37" s="3" t="s">
        <v>11</v>
      </c>
      <c r="R37" s="3" t="s">
        <v>11</v>
      </c>
      <c r="S37" s="3" t="s">
        <v>11</v>
      </c>
      <c r="T37" s="3" t="s">
        <v>11</v>
      </c>
      <c r="U37" s="3" t="s">
        <v>11</v>
      </c>
      <c r="V37" s="3" t="s">
        <v>11</v>
      </c>
      <c r="W37" s="3" t="s">
        <v>11</v>
      </c>
      <c r="X37" s="3" t="s">
        <v>11</v>
      </c>
      <c r="Y37" s="3" t="s">
        <v>11</v>
      </c>
      <c r="Z37" s="3" t="s">
        <v>11</v>
      </c>
      <c r="AA37" s="3" t="s">
        <v>11</v>
      </c>
    </row>
    <row r="38" spans="3:27" x14ac:dyDescent="0.3">
      <c r="C38" s="10" t="s">
        <v>32</v>
      </c>
      <c r="D38" s="3">
        <v>4926500</v>
      </c>
      <c r="E38" s="3">
        <v>9321834</v>
      </c>
      <c r="F38" s="3" t="s">
        <v>11</v>
      </c>
      <c r="G38" s="3" t="s">
        <v>11</v>
      </c>
      <c r="H38" s="3" t="s">
        <v>11</v>
      </c>
      <c r="I38" s="3" t="s">
        <v>11</v>
      </c>
      <c r="J38" s="3" t="s">
        <v>11</v>
      </c>
      <c r="K38" s="3" t="s">
        <v>11</v>
      </c>
      <c r="L38" s="3" t="s">
        <v>11</v>
      </c>
      <c r="M38" s="3" t="s">
        <v>11</v>
      </c>
      <c r="N38" s="3" t="s">
        <v>11</v>
      </c>
      <c r="O38" s="3" t="s">
        <v>11</v>
      </c>
      <c r="P38" s="3" t="s">
        <v>11</v>
      </c>
      <c r="Q38" s="3" t="s">
        <v>11</v>
      </c>
      <c r="R38" s="3" t="s">
        <v>11</v>
      </c>
      <c r="S38" s="3" t="s">
        <v>11</v>
      </c>
      <c r="T38" s="3" t="s">
        <v>11</v>
      </c>
      <c r="U38" s="3" t="s">
        <v>11</v>
      </c>
      <c r="V38" s="3" t="s">
        <v>11</v>
      </c>
      <c r="W38" s="3" t="s">
        <v>11</v>
      </c>
      <c r="X38" s="3" t="s">
        <v>11</v>
      </c>
      <c r="Y38" s="3" t="s">
        <v>11</v>
      </c>
      <c r="Z38" s="3" t="s">
        <v>11</v>
      </c>
      <c r="AA38" s="3" t="s">
        <v>11</v>
      </c>
    </row>
    <row r="39" spans="3:27" x14ac:dyDescent="0.3">
      <c r="C39" s="10" t="s">
        <v>33</v>
      </c>
      <c r="D39" s="3">
        <v>5149958</v>
      </c>
      <c r="E39" s="3"/>
      <c r="F39" s="3" t="s">
        <v>11</v>
      </c>
      <c r="G39" s="3" t="s">
        <v>11</v>
      </c>
      <c r="H39" s="3" t="s">
        <v>11</v>
      </c>
      <c r="I39" s="3" t="s">
        <v>11</v>
      </c>
      <c r="J39" s="3" t="s">
        <v>11</v>
      </c>
      <c r="K39" s="3" t="s">
        <v>11</v>
      </c>
      <c r="L39" s="3" t="s">
        <v>11</v>
      </c>
      <c r="M39" s="3" t="s">
        <v>11</v>
      </c>
      <c r="N39" s="3" t="s">
        <v>11</v>
      </c>
      <c r="O39" s="3" t="s">
        <v>11</v>
      </c>
      <c r="P39" s="3" t="s">
        <v>11</v>
      </c>
      <c r="Q39" s="3" t="s">
        <v>11</v>
      </c>
      <c r="R39" s="3" t="s">
        <v>11</v>
      </c>
      <c r="S39" s="3" t="s">
        <v>11</v>
      </c>
      <c r="T39" s="3" t="s">
        <v>11</v>
      </c>
      <c r="U39" s="3" t="s">
        <v>11</v>
      </c>
      <c r="V39" s="3" t="s">
        <v>11</v>
      </c>
      <c r="W39" s="3" t="s">
        <v>11</v>
      </c>
      <c r="X39" s="3" t="s">
        <v>11</v>
      </c>
      <c r="Y39" s="3" t="s">
        <v>11</v>
      </c>
      <c r="Z39" s="3" t="s">
        <v>11</v>
      </c>
      <c r="AA39" s="3" t="s">
        <v>11</v>
      </c>
    </row>
    <row r="40" spans="3:27" x14ac:dyDescent="0.3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3:27" x14ac:dyDescent="0.3"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9" spans="2:13" x14ac:dyDescent="0.3">
      <c r="J49" s="1"/>
    </row>
    <row r="50" spans="2:13" x14ac:dyDescent="0.3">
      <c r="F50" s="4" t="s">
        <v>38</v>
      </c>
      <c r="G50" s="4"/>
      <c r="H50" s="4"/>
      <c r="I50" s="4"/>
      <c r="J50" s="5" t="s">
        <v>39</v>
      </c>
      <c r="K50" s="5"/>
      <c r="L50" s="5"/>
      <c r="M50" s="5"/>
    </row>
    <row r="51" spans="2:13" x14ac:dyDescent="0.3">
      <c r="D51" s="6" t="s">
        <v>34</v>
      </c>
      <c r="E51" s="6" t="s">
        <v>35</v>
      </c>
      <c r="F51" s="6" t="s">
        <v>40</v>
      </c>
      <c r="G51" s="6" t="s">
        <v>41</v>
      </c>
      <c r="H51" s="6" t="s">
        <v>42</v>
      </c>
      <c r="I51" s="6" t="s">
        <v>43</v>
      </c>
      <c r="J51" s="6" t="s">
        <v>40</v>
      </c>
      <c r="K51" s="6" t="s">
        <v>41</v>
      </c>
      <c r="L51" s="6" t="s">
        <v>42</v>
      </c>
      <c r="M51" s="6" t="s">
        <v>43</v>
      </c>
    </row>
    <row r="52" spans="2:13" x14ac:dyDescent="0.3">
      <c r="B52">
        <v>24</v>
      </c>
      <c r="C52" s="10" t="s">
        <v>9</v>
      </c>
      <c r="D52" s="1">
        <v>30470484.27272727</v>
      </c>
      <c r="E52" s="1" cm="1">
        <f t="array" ref="E52">INDEX(D16:AA16,$B52)</f>
        <v>14725385</v>
      </c>
      <c r="F52" s="7"/>
      <c r="G52" s="8"/>
      <c r="I52" s="1"/>
      <c r="J52" s="1"/>
      <c r="K52" s="7"/>
    </row>
    <row r="53" spans="2:13" x14ac:dyDescent="0.3">
      <c r="B53">
        <f>+B52-1</f>
        <v>23</v>
      </c>
      <c r="C53" s="10" t="s">
        <v>10</v>
      </c>
      <c r="D53" s="1">
        <v>35502399.818181813</v>
      </c>
      <c r="E53" s="1" cm="1">
        <f t="array" ref="E53">INDEX(D17:AA17,$B53)</f>
        <v>17735279</v>
      </c>
      <c r="F53" s="7"/>
      <c r="G53" s="8"/>
      <c r="I53" s="1"/>
      <c r="J53" s="1"/>
      <c r="K53" s="7"/>
    </row>
    <row r="54" spans="2:13" x14ac:dyDescent="0.3">
      <c r="B54">
        <f t="shared" ref="B54:B75" si="1">+B53-1</f>
        <v>22</v>
      </c>
      <c r="C54" s="10" t="s">
        <v>12</v>
      </c>
      <c r="D54" s="1">
        <v>15118898.818181816</v>
      </c>
      <c r="E54" s="1" cm="1">
        <f t="array" ref="E54">INDEX(D18:AA18,$B54)</f>
        <v>11881761</v>
      </c>
      <c r="F54" s="7"/>
      <c r="G54" s="8"/>
      <c r="I54" s="1"/>
      <c r="J54" s="1"/>
      <c r="K54" s="7"/>
    </row>
    <row r="55" spans="2:13" x14ac:dyDescent="0.3">
      <c r="B55">
        <f t="shared" si="1"/>
        <v>21</v>
      </c>
      <c r="C55" s="10" t="s">
        <v>13</v>
      </c>
      <c r="D55" s="1">
        <v>47069939.18181818</v>
      </c>
      <c r="E55" s="1" cm="1">
        <f t="array" ref="E55">INDEX(D19:AA19,$B55)</f>
        <v>19461650</v>
      </c>
      <c r="F55" s="7"/>
      <c r="G55" s="8"/>
      <c r="I55" s="1"/>
      <c r="J55" s="1"/>
      <c r="K55" s="7"/>
    </row>
    <row r="56" spans="2:13" x14ac:dyDescent="0.3">
      <c r="B56">
        <f t="shared" si="1"/>
        <v>20</v>
      </c>
      <c r="C56" s="10" t="s">
        <v>14</v>
      </c>
      <c r="D56" s="1">
        <v>10724970.895859487</v>
      </c>
      <c r="E56" s="1" cm="1">
        <f t="array" ref="E56">INDEX(D20:AA20,$B56)</f>
        <v>11816173</v>
      </c>
      <c r="F56" s="7"/>
      <c r="G56" s="8"/>
      <c r="I56" s="1"/>
      <c r="J56" s="1"/>
      <c r="K56" s="7"/>
    </row>
    <row r="57" spans="2:13" x14ac:dyDescent="0.3">
      <c r="B57">
        <f t="shared" si="1"/>
        <v>19</v>
      </c>
      <c r="C57" s="10" t="s">
        <v>15</v>
      </c>
      <c r="D57" s="1">
        <v>19800248.774532568</v>
      </c>
      <c r="E57" s="1" cm="1">
        <f t="array" ref="E57">INDEX(D21:AA21,$B57)</f>
        <v>13048471</v>
      </c>
      <c r="F57" s="7"/>
      <c r="G57" s="8"/>
      <c r="I57" s="1"/>
      <c r="J57" s="1"/>
      <c r="K57" s="7"/>
    </row>
    <row r="58" spans="2:13" x14ac:dyDescent="0.3">
      <c r="B58">
        <f t="shared" si="1"/>
        <v>18</v>
      </c>
      <c r="C58" s="10" t="s">
        <v>16</v>
      </c>
      <c r="D58" s="1">
        <v>28289118.255445365</v>
      </c>
      <c r="E58" s="1" cm="1">
        <f t="array" ref="E58">INDEX(D22:AA22,$B58)</f>
        <v>10840140</v>
      </c>
      <c r="F58" s="7"/>
      <c r="G58" s="8"/>
      <c r="I58" s="1"/>
      <c r="J58" s="1"/>
      <c r="K58" s="7"/>
    </row>
    <row r="59" spans="2:13" x14ac:dyDescent="0.3">
      <c r="B59">
        <f t="shared" si="1"/>
        <v>17</v>
      </c>
      <c r="C59" s="10" t="s">
        <v>17</v>
      </c>
      <c r="D59" s="1">
        <v>30704505.89934551</v>
      </c>
      <c r="E59" s="1" cm="1">
        <f t="array" ref="E59">INDEX(D23:AA23,$B59)</f>
        <v>14111136</v>
      </c>
      <c r="F59" s="7"/>
      <c r="G59" s="8"/>
      <c r="I59" s="1"/>
      <c r="J59" s="1"/>
      <c r="K59" s="7"/>
    </row>
    <row r="60" spans="2:13" x14ac:dyDescent="0.3">
      <c r="B60">
        <f t="shared" si="1"/>
        <v>16</v>
      </c>
      <c r="C60" s="10" t="s">
        <v>18</v>
      </c>
      <c r="D60" s="1">
        <v>18880428.334744815</v>
      </c>
      <c r="E60" s="1" cm="1">
        <f t="array" ref="E60">INDEX(D24:AA24,$B60)</f>
        <v>15729334</v>
      </c>
      <c r="F60" s="7"/>
      <c r="G60" s="8"/>
      <c r="I60" s="1"/>
      <c r="J60" s="1"/>
      <c r="K60" s="7"/>
    </row>
    <row r="61" spans="2:13" x14ac:dyDescent="0.3">
      <c r="B61">
        <f t="shared" si="1"/>
        <v>15</v>
      </c>
      <c r="C61" s="10" t="s">
        <v>19</v>
      </c>
      <c r="D61" s="1">
        <v>17119243.330428012</v>
      </c>
      <c r="E61" s="1" cm="1">
        <f t="array" ref="E61">INDEX(D25:AA25,$B61)</f>
        <v>14343596</v>
      </c>
      <c r="F61" s="7"/>
      <c r="G61" s="8"/>
      <c r="I61" s="1"/>
      <c r="J61" s="1"/>
      <c r="K61" s="7"/>
    </row>
    <row r="62" spans="2:13" x14ac:dyDescent="0.3">
      <c r="B62">
        <f t="shared" si="1"/>
        <v>14</v>
      </c>
      <c r="C62" s="10" t="s">
        <v>20</v>
      </c>
      <c r="D62" s="1">
        <v>41471482.106259212</v>
      </c>
      <c r="E62" s="1" cm="1">
        <f t="array" ref="E62">INDEX(D26:AA26,$B62)</f>
        <v>15119935</v>
      </c>
      <c r="F62" s="7"/>
      <c r="G62" s="8"/>
      <c r="I62" s="1"/>
      <c r="J62" s="1"/>
      <c r="K62" s="7"/>
    </row>
    <row r="63" spans="2:13" x14ac:dyDescent="0.3">
      <c r="B63">
        <f t="shared" si="1"/>
        <v>13</v>
      </c>
      <c r="C63" s="10" t="s">
        <v>21</v>
      </c>
      <c r="D63" s="1">
        <v>35368087.422613502</v>
      </c>
      <c r="E63" s="1" cm="1">
        <f t="array" ref="E63">INDEX(D27:AA27,$B63)</f>
        <v>18730024</v>
      </c>
      <c r="F63" s="7"/>
      <c r="G63" s="8"/>
      <c r="I63" s="1"/>
      <c r="J63" s="1"/>
      <c r="K63" s="7"/>
    </row>
    <row r="64" spans="2:13" x14ac:dyDescent="0.3">
      <c r="B64">
        <f t="shared" si="1"/>
        <v>12</v>
      </c>
      <c r="C64" s="10" t="s">
        <v>22</v>
      </c>
      <c r="D64" s="1">
        <v>26145159.833583504</v>
      </c>
      <c r="E64" s="1" cm="1">
        <f t="array" ref="E64">INDEX(D28:AA28,$B64)</f>
        <v>19627354</v>
      </c>
      <c r="F64" s="7"/>
      <c r="G64" s="8"/>
      <c r="I64" s="1"/>
      <c r="J64" s="1"/>
      <c r="K64" s="7"/>
    </row>
    <row r="65" spans="2:11" x14ac:dyDescent="0.3">
      <c r="B65">
        <f t="shared" si="1"/>
        <v>11</v>
      </c>
      <c r="C65" s="10" t="s">
        <v>23</v>
      </c>
      <c r="D65" s="1">
        <v>46483438.979684092</v>
      </c>
      <c r="E65" s="1" cm="1">
        <f t="array" ref="E65">INDEX(D29:AA29,$B65)</f>
        <v>20049671</v>
      </c>
      <c r="F65" s="7"/>
      <c r="G65" s="8"/>
      <c r="I65" s="1"/>
      <c r="J65" s="1"/>
      <c r="K65" s="7"/>
    </row>
    <row r="66" spans="2:11" x14ac:dyDescent="0.3">
      <c r="B66">
        <f t="shared" si="1"/>
        <v>10</v>
      </c>
      <c r="C66" s="10" t="s">
        <v>24</v>
      </c>
      <c r="D66" s="1">
        <v>28927094.426070891</v>
      </c>
      <c r="E66" s="1" cm="1">
        <f t="array" ref="E66">INDEX(D30:AA30,$B66)</f>
        <v>20688336</v>
      </c>
      <c r="F66" s="7"/>
      <c r="G66" s="8"/>
      <c r="I66" s="1"/>
      <c r="J66" s="1"/>
      <c r="K66" s="7"/>
    </row>
    <row r="67" spans="2:11" x14ac:dyDescent="0.3">
      <c r="B67">
        <f t="shared" si="1"/>
        <v>9</v>
      </c>
      <c r="C67" s="10" t="s">
        <v>25</v>
      </c>
      <c r="D67" s="1">
        <v>62474506.661254242</v>
      </c>
      <c r="E67" s="1" cm="1">
        <f t="array" ref="E67">INDEX(D31:AA31,$B67)</f>
        <v>25647723</v>
      </c>
      <c r="F67" s="7"/>
      <c r="G67" s="8"/>
      <c r="I67" s="1"/>
      <c r="J67" s="1"/>
      <c r="K67" s="7"/>
    </row>
    <row r="68" spans="2:11" x14ac:dyDescent="0.3">
      <c r="B68">
        <f t="shared" si="1"/>
        <v>8</v>
      </c>
      <c r="C68" s="10" t="s">
        <v>26</v>
      </c>
      <c r="D68" s="1">
        <v>40231086.53669332</v>
      </c>
      <c r="E68" s="1" cm="1">
        <f t="array" ref="E68">INDEX(D32:AA32,$B68)</f>
        <v>26811464</v>
      </c>
      <c r="F68" s="7"/>
      <c r="G68" s="8"/>
      <c r="I68" s="1"/>
      <c r="J68" s="1"/>
      <c r="K68" s="7"/>
    </row>
    <row r="69" spans="2:11" x14ac:dyDescent="0.3">
      <c r="B69">
        <f t="shared" si="1"/>
        <v>7</v>
      </c>
      <c r="C69" s="10" t="s">
        <v>27</v>
      </c>
      <c r="D69" s="1">
        <v>50080346.078834943</v>
      </c>
      <c r="E69" s="1" cm="1">
        <f t="array" ref="E69">INDEX(D33:AA33,$B69)</f>
        <v>21399003</v>
      </c>
      <c r="F69" s="7"/>
      <c r="G69" s="8"/>
      <c r="I69" s="1"/>
      <c r="J69" s="1"/>
      <c r="K69" s="7"/>
    </row>
    <row r="70" spans="2:11" x14ac:dyDescent="0.3">
      <c r="B70">
        <f t="shared" si="1"/>
        <v>6</v>
      </c>
      <c r="C70" s="10" t="s">
        <v>28</v>
      </c>
      <c r="D70" s="1">
        <v>68225324.210713387</v>
      </c>
      <c r="E70" s="1" cm="1">
        <f t="array" ref="E70">INDEX(D34:AA34,$B70)</f>
        <v>33589263</v>
      </c>
      <c r="F70" s="7"/>
      <c r="G70" s="8"/>
      <c r="I70" s="1"/>
      <c r="J70" s="1"/>
      <c r="K70" s="7"/>
    </row>
    <row r="71" spans="2:11" x14ac:dyDescent="0.3">
      <c r="B71">
        <f t="shared" si="1"/>
        <v>5</v>
      </c>
      <c r="C71" s="10" t="s">
        <v>29</v>
      </c>
      <c r="D71" s="1">
        <v>46727119.66625829</v>
      </c>
      <c r="E71" s="1" cm="1">
        <f t="array" ref="E71">INDEX(D35:AA35,$B71)</f>
        <v>21705785</v>
      </c>
      <c r="F71" s="7"/>
      <c r="G71" s="8"/>
      <c r="I71" s="1"/>
      <c r="J71" s="1"/>
      <c r="K71" s="7"/>
    </row>
    <row r="72" spans="2:11" x14ac:dyDescent="0.3">
      <c r="B72">
        <f t="shared" si="1"/>
        <v>4</v>
      </c>
      <c r="C72" s="10" t="s">
        <v>30</v>
      </c>
      <c r="D72" s="1">
        <v>63421725.274842381</v>
      </c>
      <c r="E72" s="1" cm="1">
        <f t="array" ref="E72">INDEX(D36:AA36,$B72)</f>
        <v>17306094</v>
      </c>
      <c r="F72" s="7"/>
      <c r="G72" s="8"/>
      <c r="I72" s="1"/>
      <c r="J72" s="1"/>
      <c r="K72" s="7"/>
    </row>
    <row r="73" spans="2:11" x14ac:dyDescent="0.3">
      <c r="B73">
        <f t="shared" si="1"/>
        <v>3</v>
      </c>
      <c r="C73" s="10" t="s">
        <v>31</v>
      </c>
      <c r="D73" s="1">
        <v>44130894.45352187</v>
      </c>
      <c r="E73" s="1" cm="1">
        <f t="array" ref="E73">INDEX(D37:AA37,$B73)</f>
        <v>15374462</v>
      </c>
      <c r="F73" s="7"/>
      <c r="G73" s="8"/>
      <c r="I73" s="1"/>
      <c r="J73" s="1"/>
      <c r="K73" s="7"/>
    </row>
    <row r="74" spans="2:11" x14ac:dyDescent="0.3">
      <c r="B74">
        <f t="shared" si="1"/>
        <v>2</v>
      </c>
      <c r="C74" s="10" t="s">
        <v>32</v>
      </c>
      <c r="D74" s="1">
        <v>35850380.695277527</v>
      </c>
      <c r="E74" s="1" cm="1">
        <f t="array" ref="E74">INDEX(D38:AA38,$B74)</f>
        <v>9321834</v>
      </c>
      <c r="F74" s="7"/>
      <c r="G74" s="8"/>
      <c r="I74" s="1"/>
      <c r="J74" s="1"/>
      <c r="K74" s="7"/>
    </row>
    <row r="75" spans="2:11" x14ac:dyDescent="0.3">
      <c r="B75">
        <f t="shared" si="1"/>
        <v>1</v>
      </c>
      <c r="C75" s="10" t="s">
        <v>33</v>
      </c>
      <c r="D75" s="1">
        <v>55736822.584780522</v>
      </c>
      <c r="E75" s="1" cm="1">
        <f t="array" ref="E75">INDEX(D39:AA39,$B75)</f>
        <v>5149958</v>
      </c>
      <c r="F75" s="7"/>
      <c r="G75" s="8"/>
      <c r="I75" s="1"/>
      <c r="J75" s="1"/>
      <c r="K75" s="7"/>
    </row>
    <row r="81" spans="3:27" ht="25.8" x14ac:dyDescent="0.5">
      <c r="C81" s="2" t="s">
        <v>36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3" spans="3:27" x14ac:dyDescent="0.3">
      <c r="D83" s="13">
        <v>1</v>
      </c>
      <c r="E83" s="13">
        <f>+D83+1</f>
        <v>2</v>
      </c>
      <c r="F83" s="13">
        <f t="shared" ref="F83:AA83" si="2">+E83+1</f>
        <v>3</v>
      </c>
      <c r="G83" s="13">
        <f t="shared" si="2"/>
        <v>4</v>
      </c>
      <c r="H83" s="13">
        <f t="shared" si="2"/>
        <v>5</v>
      </c>
      <c r="I83" s="13">
        <f t="shared" si="2"/>
        <v>6</v>
      </c>
      <c r="J83" s="13">
        <f t="shared" si="2"/>
        <v>7</v>
      </c>
      <c r="K83" s="13">
        <f t="shared" si="2"/>
        <v>8</v>
      </c>
      <c r="L83" s="13">
        <f t="shared" si="2"/>
        <v>9</v>
      </c>
      <c r="M83" s="13">
        <f t="shared" si="2"/>
        <v>10</v>
      </c>
      <c r="N83" s="13">
        <f t="shared" si="2"/>
        <v>11</v>
      </c>
      <c r="O83" s="13">
        <f t="shared" si="2"/>
        <v>12</v>
      </c>
      <c r="P83" s="13">
        <f t="shared" si="2"/>
        <v>13</v>
      </c>
      <c r="Q83" s="13">
        <f t="shared" si="2"/>
        <v>14</v>
      </c>
      <c r="R83" s="13">
        <f t="shared" si="2"/>
        <v>15</v>
      </c>
      <c r="S83" s="13">
        <f t="shared" si="2"/>
        <v>16</v>
      </c>
      <c r="T83" s="13">
        <f t="shared" si="2"/>
        <v>17</v>
      </c>
      <c r="U83" s="13">
        <f t="shared" si="2"/>
        <v>18</v>
      </c>
      <c r="V83" s="13">
        <f t="shared" si="2"/>
        <v>19</v>
      </c>
      <c r="W83" s="13">
        <f t="shared" si="2"/>
        <v>20</v>
      </c>
      <c r="X83" s="13">
        <f t="shared" si="2"/>
        <v>21</v>
      </c>
      <c r="Y83" s="13">
        <f t="shared" si="2"/>
        <v>22</v>
      </c>
      <c r="Z83" s="13">
        <f t="shared" si="2"/>
        <v>23</v>
      </c>
      <c r="AA83" s="13">
        <f t="shared" si="2"/>
        <v>24</v>
      </c>
    </row>
    <row r="84" spans="3:27" x14ac:dyDescent="0.3">
      <c r="C84" s="10" t="s">
        <v>9</v>
      </c>
      <c r="D84" s="1">
        <v>6418198</v>
      </c>
      <c r="E84" s="1">
        <v>8351947</v>
      </c>
      <c r="F84" s="1">
        <v>9393090</v>
      </c>
      <c r="G84" s="1">
        <v>11183194</v>
      </c>
      <c r="H84" s="1">
        <v>12100800</v>
      </c>
      <c r="I84" s="1">
        <v>12721118</v>
      </c>
      <c r="J84" s="1">
        <v>13073728</v>
      </c>
      <c r="K84" s="1">
        <v>13548698</v>
      </c>
      <c r="L84" s="1">
        <v>13729852</v>
      </c>
      <c r="M84" s="1">
        <v>14178002</v>
      </c>
      <c r="N84" s="1">
        <v>14403018</v>
      </c>
      <c r="O84" s="1">
        <v>14589694</v>
      </c>
      <c r="P84" s="1">
        <v>14666170</v>
      </c>
      <c r="Q84" s="1">
        <v>14699145</v>
      </c>
      <c r="R84" s="1">
        <v>14709918</v>
      </c>
      <c r="S84" s="1">
        <v>14721902</v>
      </c>
      <c r="T84" s="1">
        <v>14723975</v>
      </c>
      <c r="U84" s="1">
        <v>14724778</v>
      </c>
      <c r="V84" s="1">
        <v>14725216</v>
      </c>
      <c r="W84" s="1">
        <v>14725343</v>
      </c>
      <c r="X84" s="1">
        <v>14725356</v>
      </c>
      <c r="Y84" s="1">
        <v>14725361</v>
      </c>
      <c r="Z84" s="1">
        <v>14725369</v>
      </c>
      <c r="AA84" s="1">
        <v>14725385</v>
      </c>
    </row>
    <row r="85" spans="3:27" x14ac:dyDescent="0.3">
      <c r="C85" s="10" t="s">
        <v>10</v>
      </c>
      <c r="D85" s="1">
        <v>7475822</v>
      </c>
      <c r="E85" s="1">
        <v>10450029</v>
      </c>
      <c r="F85" s="1">
        <v>12515657</v>
      </c>
      <c r="G85" s="1">
        <v>13149304</v>
      </c>
      <c r="H85" s="1">
        <v>14417681</v>
      </c>
      <c r="I85" s="1">
        <v>15145227</v>
      </c>
      <c r="J85" s="1">
        <v>15971980</v>
      </c>
      <c r="K85" s="1">
        <v>16442175</v>
      </c>
      <c r="L85" s="1">
        <v>16761977</v>
      </c>
      <c r="M85" s="1">
        <v>17230340</v>
      </c>
      <c r="N85" s="1">
        <v>17479823</v>
      </c>
      <c r="O85" s="1">
        <v>17658472</v>
      </c>
      <c r="P85" s="1">
        <v>17691106</v>
      </c>
      <c r="Q85" s="1">
        <v>17707511</v>
      </c>
      <c r="R85" s="1">
        <v>17727251</v>
      </c>
      <c r="S85" s="1">
        <v>17731572</v>
      </c>
      <c r="T85" s="1">
        <v>17733454</v>
      </c>
      <c r="U85" s="1">
        <v>17734435</v>
      </c>
      <c r="V85" s="1">
        <v>17734974</v>
      </c>
      <c r="W85" s="1">
        <v>17735197</v>
      </c>
      <c r="X85" s="1">
        <v>17735258</v>
      </c>
      <c r="Y85" s="1">
        <v>17735268</v>
      </c>
      <c r="Z85" s="1">
        <v>17735279</v>
      </c>
      <c r="AA85" s="9">
        <v>17735298.270448435</v>
      </c>
    </row>
    <row r="86" spans="3:27" x14ac:dyDescent="0.3">
      <c r="C86" s="10" t="s">
        <v>12</v>
      </c>
      <c r="D86" s="1">
        <v>4944676</v>
      </c>
      <c r="E86" s="1">
        <v>5651989</v>
      </c>
      <c r="F86" s="1">
        <v>6603749</v>
      </c>
      <c r="G86" s="1">
        <v>7627857</v>
      </c>
      <c r="H86" s="1">
        <v>8503366</v>
      </c>
      <c r="I86" s="1">
        <v>9687265</v>
      </c>
      <c r="J86" s="1">
        <v>10329156</v>
      </c>
      <c r="K86" s="1">
        <v>10705380</v>
      </c>
      <c r="L86" s="1">
        <v>11007279</v>
      </c>
      <c r="M86" s="1">
        <v>11432174</v>
      </c>
      <c r="N86" s="1">
        <v>11644639</v>
      </c>
      <c r="O86" s="1">
        <v>11802250</v>
      </c>
      <c r="P86" s="1">
        <v>11840837</v>
      </c>
      <c r="Q86" s="1">
        <v>11864201</v>
      </c>
      <c r="R86" s="1">
        <v>11873586</v>
      </c>
      <c r="S86" s="1">
        <v>11878223</v>
      </c>
      <c r="T86" s="1">
        <v>11880065</v>
      </c>
      <c r="U86" s="1">
        <v>11880905</v>
      </c>
      <c r="V86" s="1">
        <v>11881492</v>
      </c>
      <c r="W86" s="1">
        <v>11881607</v>
      </c>
      <c r="X86" s="1">
        <v>11881725</v>
      </c>
      <c r="Y86" s="1">
        <v>11881761</v>
      </c>
      <c r="Z86" s="9">
        <v>11881768.369461289</v>
      </c>
      <c r="AA86" s="9">
        <v>11881781.279717997</v>
      </c>
    </row>
    <row r="87" spans="3:27" x14ac:dyDescent="0.3">
      <c r="C87" s="10" t="s">
        <v>13</v>
      </c>
      <c r="D87" s="1">
        <v>5990844</v>
      </c>
      <c r="E87" s="1">
        <v>12990844</v>
      </c>
      <c r="F87" s="1">
        <v>14795084</v>
      </c>
      <c r="G87" s="1">
        <v>15558421</v>
      </c>
      <c r="H87" s="1">
        <v>16698078</v>
      </c>
      <c r="I87" s="1">
        <v>17591115</v>
      </c>
      <c r="J87" s="1">
        <v>17858613</v>
      </c>
      <c r="K87" s="1">
        <v>18161498</v>
      </c>
      <c r="L87" s="1">
        <v>18751439</v>
      </c>
      <c r="M87" s="1">
        <v>18855100</v>
      </c>
      <c r="N87" s="1">
        <v>19152179</v>
      </c>
      <c r="O87" s="1">
        <v>19349458</v>
      </c>
      <c r="P87" s="1">
        <v>19426010</v>
      </c>
      <c r="Q87" s="1">
        <v>19444545</v>
      </c>
      <c r="R87" s="1">
        <v>19453256</v>
      </c>
      <c r="S87" s="1">
        <v>19457999</v>
      </c>
      <c r="T87" s="1">
        <v>19459976</v>
      </c>
      <c r="U87" s="1">
        <v>19461146</v>
      </c>
      <c r="V87" s="1">
        <v>19461559</v>
      </c>
      <c r="W87" s="1">
        <v>19461649</v>
      </c>
      <c r="X87" s="1">
        <v>19461650</v>
      </c>
      <c r="Y87" s="9">
        <v>19461708.966134965</v>
      </c>
      <c r="Z87" s="9">
        <v>19461719.53929998</v>
      </c>
      <c r="AA87" s="9">
        <v>19461740.685630009</v>
      </c>
    </row>
    <row r="88" spans="3:27" x14ac:dyDescent="0.3">
      <c r="C88" s="10" t="s">
        <v>14</v>
      </c>
      <c r="D88" s="1">
        <v>6106533</v>
      </c>
      <c r="E88" s="1">
        <v>7227067</v>
      </c>
      <c r="F88" s="1">
        <v>8316481</v>
      </c>
      <c r="G88" s="1">
        <v>8778769</v>
      </c>
      <c r="H88" s="1">
        <v>9616196</v>
      </c>
      <c r="I88" s="1">
        <v>9944940</v>
      </c>
      <c r="J88" s="1">
        <v>10596973</v>
      </c>
      <c r="K88" s="1">
        <v>10938865</v>
      </c>
      <c r="L88" s="1">
        <v>11091033</v>
      </c>
      <c r="M88" s="1">
        <v>11574757</v>
      </c>
      <c r="N88" s="1">
        <v>11660948</v>
      </c>
      <c r="O88" s="1">
        <v>11754449</v>
      </c>
      <c r="P88" s="1">
        <v>11785976</v>
      </c>
      <c r="Q88" s="1">
        <v>11801623</v>
      </c>
      <c r="R88" s="1">
        <v>11808422</v>
      </c>
      <c r="S88" s="1">
        <v>11812430</v>
      </c>
      <c r="T88" s="1">
        <v>11814677</v>
      </c>
      <c r="U88" s="1">
        <v>11815553</v>
      </c>
      <c r="V88" s="1">
        <v>11815994</v>
      </c>
      <c r="W88" s="1">
        <v>11816173</v>
      </c>
      <c r="X88" s="9">
        <v>11816183.431692421</v>
      </c>
      <c r="Y88" s="9">
        <v>11816219.233110443</v>
      </c>
      <c r="Z88" s="9">
        <v>11816225.652630745</v>
      </c>
      <c r="AA88" s="9">
        <v>11816238.491671344</v>
      </c>
    </row>
    <row r="89" spans="3:27" x14ac:dyDescent="0.3">
      <c r="C89" s="10" t="s">
        <v>15</v>
      </c>
      <c r="D89" s="1">
        <v>3511339</v>
      </c>
      <c r="E89" s="1">
        <v>5097855</v>
      </c>
      <c r="F89" s="1">
        <v>6037374</v>
      </c>
      <c r="G89" s="1">
        <v>6436248</v>
      </c>
      <c r="H89" s="1">
        <v>7366573</v>
      </c>
      <c r="I89" s="1">
        <v>8575992</v>
      </c>
      <c r="J89" s="1">
        <v>9082448</v>
      </c>
      <c r="K89" s="3">
        <v>12082448</v>
      </c>
      <c r="L89" s="1">
        <v>12687409</v>
      </c>
      <c r="M89" s="1">
        <v>12838372</v>
      </c>
      <c r="N89" s="1">
        <v>12930641</v>
      </c>
      <c r="O89" s="1">
        <v>12990612</v>
      </c>
      <c r="P89" s="1">
        <v>13017211</v>
      </c>
      <c r="Q89" s="1">
        <v>13032985</v>
      </c>
      <c r="R89" s="1">
        <v>13041104</v>
      </c>
      <c r="S89" s="1">
        <v>13045224</v>
      </c>
      <c r="T89" s="1">
        <v>13046906</v>
      </c>
      <c r="U89" s="1">
        <v>13047997</v>
      </c>
      <c r="V89" s="1">
        <v>13048471</v>
      </c>
      <c r="W89" s="9">
        <v>13048635.071795821</v>
      </c>
      <c r="X89" s="9">
        <v>13048764.661921002</v>
      </c>
      <c r="Y89" s="9">
        <v>13048804.197891396</v>
      </c>
      <c r="Z89" s="9">
        <v>13048812.291191489</v>
      </c>
      <c r="AA89" s="9">
        <v>13048826.469511684</v>
      </c>
    </row>
    <row r="90" spans="3:27" x14ac:dyDescent="0.3">
      <c r="C90" s="10" t="s">
        <v>16</v>
      </c>
      <c r="D90" s="1">
        <v>4141271</v>
      </c>
      <c r="E90" s="1">
        <v>5675304</v>
      </c>
      <c r="F90" s="1">
        <v>6514051</v>
      </c>
      <c r="G90" s="1">
        <v>7799341</v>
      </c>
      <c r="H90" s="1">
        <v>8118940</v>
      </c>
      <c r="I90" s="1">
        <v>8328067</v>
      </c>
      <c r="J90" s="1">
        <v>9073367</v>
      </c>
      <c r="K90" s="1">
        <v>9580777</v>
      </c>
      <c r="L90" s="1">
        <v>10084545</v>
      </c>
      <c r="M90" s="1">
        <v>10574369</v>
      </c>
      <c r="N90" s="1">
        <v>10704764</v>
      </c>
      <c r="O90" s="1">
        <v>10779530</v>
      </c>
      <c r="P90" s="1">
        <v>10810916</v>
      </c>
      <c r="Q90" s="1">
        <v>10825407</v>
      </c>
      <c r="R90" s="1">
        <v>10831969</v>
      </c>
      <c r="S90" s="1">
        <v>10836654</v>
      </c>
      <c r="T90" s="1">
        <v>10839043</v>
      </c>
      <c r="U90" s="1">
        <v>10840140</v>
      </c>
      <c r="V90" s="9">
        <v>10840675.578912549</v>
      </c>
      <c r="W90" s="9">
        <v>10840839.803854488</v>
      </c>
      <c r="X90" s="9">
        <v>10840840.360890523</v>
      </c>
      <c r="Y90" s="9">
        <v>10840846.473482942</v>
      </c>
      <c r="Z90" s="9">
        <v>10840852.363102341</v>
      </c>
      <c r="AA90" s="9">
        <v>10840864.142341137</v>
      </c>
    </row>
    <row r="91" spans="3:27" x14ac:dyDescent="0.3">
      <c r="C91" s="10" t="s">
        <v>17</v>
      </c>
      <c r="D91" s="1">
        <v>6591656</v>
      </c>
      <c r="E91" s="1">
        <v>9149839</v>
      </c>
      <c r="F91" s="1">
        <v>9876574</v>
      </c>
      <c r="G91" s="1">
        <v>11324778</v>
      </c>
      <c r="H91" s="1">
        <v>11791969</v>
      </c>
      <c r="I91" s="1">
        <v>12446387</v>
      </c>
      <c r="J91" s="1">
        <v>12820241</v>
      </c>
      <c r="K91" s="1">
        <v>13419392</v>
      </c>
      <c r="L91" s="1">
        <v>13586619</v>
      </c>
      <c r="M91" s="1">
        <v>13861205</v>
      </c>
      <c r="N91" s="1">
        <v>13987078</v>
      </c>
      <c r="O91" s="1">
        <v>14043493</v>
      </c>
      <c r="P91" s="1">
        <v>14079323</v>
      </c>
      <c r="Q91" s="1">
        <v>14095393</v>
      </c>
      <c r="R91" s="1">
        <v>14104571</v>
      </c>
      <c r="S91" s="1">
        <v>14109322</v>
      </c>
      <c r="T91" s="1">
        <v>14111136</v>
      </c>
      <c r="U91" s="9">
        <v>14111984.409531439</v>
      </c>
      <c r="V91" s="9">
        <v>14112283.890844673</v>
      </c>
      <c r="W91" s="9">
        <v>14112349.153116323</v>
      </c>
      <c r="X91" s="9">
        <v>14112489.307322742</v>
      </c>
      <c r="Y91" s="9">
        <v>14112494.099223634</v>
      </c>
      <c r="Z91" s="9">
        <v>14112501.766265061</v>
      </c>
      <c r="AA91" s="9">
        <v>14112517.100347912</v>
      </c>
    </row>
    <row r="92" spans="3:27" x14ac:dyDescent="0.3">
      <c r="C92" s="10" t="s">
        <v>18</v>
      </c>
      <c r="D92" s="1">
        <v>6289704</v>
      </c>
      <c r="E92" s="1">
        <v>9074583</v>
      </c>
      <c r="F92" s="1">
        <v>11031640</v>
      </c>
      <c r="G92" s="1">
        <v>12328713</v>
      </c>
      <c r="H92" s="1">
        <v>12743016</v>
      </c>
      <c r="I92" s="1">
        <v>13716063</v>
      </c>
      <c r="J92" s="1">
        <v>13936735</v>
      </c>
      <c r="K92" s="1">
        <v>14684360</v>
      </c>
      <c r="L92" s="1">
        <v>15224487</v>
      </c>
      <c r="M92" s="1">
        <v>15505624</v>
      </c>
      <c r="N92" s="1">
        <v>15616491</v>
      </c>
      <c r="O92" s="1">
        <v>15669883</v>
      </c>
      <c r="P92" s="1">
        <v>15701026</v>
      </c>
      <c r="Q92" s="1">
        <v>15717007</v>
      </c>
      <c r="R92" s="1">
        <v>15725357</v>
      </c>
      <c r="S92" s="1">
        <v>15729334</v>
      </c>
      <c r="T92" s="9">
        <v>15731356.280863388</v>
      </c>
      <c r="U92" s="9">
        <v>15732522.6833052</v>
      </c>
      <c r="V92" s="9">
        <v>15732856.555311924</v>
      </c>
      <c r="W92" s="9">
        <v>15732929.31192356</v>
      </c>
      <c r="X92" s="9">
        <v>15732930.120330354</v>
      </c>
      <c r="Y92" s="9">
        <v>15732977.788954591</v>
      </c>
      <c r="Z92" s="9">
        <v>15732987.547067953</v>
      </c>
      <c r="AA92" s="1" t="s">
        <v>11</v>
      </c>
    </row>
    <row r="93" spans="3:27" x14ac:dyDescent="0.3">
      <c r="C93" s="10" t="s">
        <v>19</v>
      </c>
      <c r="D93" s="1">
        <v>4959185</v>
      </c>
      <c r="E93" s="1">
        <v>7332815</v>
      </c>
      <c r="F93" s="1">
        <v>8942057</v>
      </c>
      <c r="G93" s="1">
        <v>10413724</v>
      </c>
      <c r="H93" s="1">
        <v>11109326</v>
      </c>
      <c r="I93" s="1">
        <v>11743877</v>
      </c>
      <c r="J93" s="1">
        <v>12264947</v>
      </c>
      <c r="K93" s="1">
        <v>13331758</v>
      </c>
      <c r="L93" s="1">
        <v>13881470</v>
      </c>
      <c r="M93" s="1">
        <v>14105853</v>
      </c>
      <c r="N93" s="1">
        <v>14231236</v>
      </c>
      <c r="O93" s="1">
        <v>14285043</v>
      </c>
      <c r="P93" s="1">
        <v>14317196</v>
      </c>
      <c r="Q93" s="1">
        <v>14335249</v>
      </c>
      <c r="R93" s="1">
        <v>14343596</v>
      </c>
      <c r="S93" s="9">
        <v>14348127.488708317</v>
      </c>
      <c r="T93" s="9">
        <v>14349977.479972247</v>
      </c>
      <c r="U93" s="9">
        <v>14350771.308851147</v>
      </c>
      <c r="V93" s="9">
        <v>14351198.183730569</v>
      </c>
      <c r="W93" s="9">
        <v>14351415.589432947</v>
      </c>
      <c r="X93" s="9">
        <v>14351558.117883816</v>
      </c>
      <c r="Y93" s="9">
        <v>14351562.990960609</v>
      </c>
      <c r="Z93" s="1" t="s">
        <v>11</v>
      </c>
      <c r="AA93" s="1" t="s">
        <v>11</v>
      </c>
    </row>
    <row r="94" spans="3:27" x14ac:dyDescent="0.3">
      <c r="C94" s="10" t="s">
        <v>20</v>
      </c>
      <c r="D94" s="1">
        <v>6194048</v>
      </c>
      <c r="E94" s="1">
        <v>7741218</v>
      </c>
      <c r="F94" s="1">
        <v>9386858</v>
      </c>
      <c r="G94" s="1">
        <v>9734366</v>
      </c>
      <c r="H94" s="1">
        <v>10964336</v>
      </c>
      <c r="I94" s="1">
        <v>11346897</v>
      </c>
      <c r="J94" s="1">
        <v>13064544</v>
      </c>
      <c r="K94" s="1">
        <v>14121948</v>
      </c>
      <c r="L94" s="1">
        <v>14605429</v>
      </c>
      <c r="M94" s="1">
        <v>14862271</v>
      </c>
      <c r="N94" s="1">
        <v>15012968</v>
      </c>
      <c r="O94" s="1">
        <v>15074585</v>
      </c>
      <c r="P94" s="1">
        <v>15104696</v>
      </c>
      <c r="Q94" s="1">
        <v>15119935</v>
      </c>
      <c r="R94" s="9">
        <v>15129354.081834668</v>
      </c>
      <c r="S94" s="9">
        <v>15133042.848713083</v>
      </c>
      <c r="T94" s="9">
        <v>15135173.741706759</v>
      </c>
      <c r="U94" s="9">
        <v>15136439.365491601</v>
      </c>
      <c r="V94" s="9">
        <v>15136889.610679818</v>
      </c>
      <c r="W94" s="9">
        <v>15137118.918788835</v>
      </c>
      <c r="X94" s="9">
        <v>15137269.250308167</v>
      </c>
      <c r="Y94" s="1" t="s">
        <v>11</v>
      </c>
      <c r="Z94" s="1" t="s">
        <v>11</v>
      </c>
      <c r="AA94" s="1" t="s">
        <v>11</v>
      </c>
    </row>
    <row r="95" spans="3:27" x14ac:dyDescent="0.3">
      <c r="C95" s="10" t="s">
        <v>21</v>
      </c>
      <c r="D95" s="1">
        <v>6500694</v>
      </c>
      <c r="E95" s="1">
        <v>9436157</v>
      </c>
      <c r="F95" s="1">
        <v>11552953</v>
      </c>
      <c r="G95" s="1">
        <v>12130358</v>
      </c>
      <c r="H95" s="1">
        <v>13369514</v>
      </c>
      <c r="I95" s="1">
        <v>15030308</v>
      </c>
      <c r="J95" s="1">
        <v>16697100</v>
      </c>
      <c r="K95" s="1">
        <v>17828453</v>
      </c>
      <c r="L95" s="1">
        <v>18294564</v>
      </c>
      <c r="M95" s="1">
        <v>18522862</v>
      </c>
      <c r="N95" s="1">
        <v>18641988</v>
      </c>
      <c r="O95" s="1">
        <v>18693587</v>
      </c>
      <c r="P95" s="1">
        <v>18730024</v>
      </c>
      <c r="Q95" s="9">
        <v>18748920.562746845</v>
      </c>
      <c r="R95" s="9">
        <v>18758881.33242131</v>
      </c>
      <c r="S95" s="9">
        <v>18766207.251712956</v>
      </c>
      <c r="T95" s="9">
        <v>18768199.066203389</v>
      </c>
      <c r="U95" s="9">
        <v>18770098.561793141</v>
      </c>
      <c r="V95" s="9">
        <v>18770656.893006694</v>
      </c>
      <c r="W95" s="9">
        <v>18770892.915708907</v>
      </c>
      <c r="X95" s="1" t="s">
        <v>11</v>
      </c>
      <c r="Y95" s="1" t="s">
        <v>11</v>
      </c>
      <c r="Z95" s="1" t="s">
        <v>11</v>
      </c>
      <c r="AA95" s="1" t="s">
        <v>11</v>
      </c>
    </row>
    <row r="96" spans="3:27" x14ac:dyDescent="0.3">
      <c r="C96" s="10" t="s">
        <v>22</v>
      </c>
      <c r="D96" s="1">
        <v>5205434</v>
      </c>
      <c r="E96" s="1">
        <v>7752400</v>
      </c>
      <c r="F96" s="1">
        <v>9411446</v>
      </c>
      <c r="G96" s="1">
        <v>10805763</v>
      </c>
      <c r="H96" s="1">
        <v>13284336</v>
      </c>
      <c r="I96" s="1">
        <v>15384835</v>
      </c>
      <c r="J96" s="1">
        <v>17438864</v>
      </c>
      <c r="K96" s="1">
        <v>18514044</v>
      </c>
      <c r="L96" s="1">
        <v>19125680</v>
      </c>
      <c r="M96" s="1">
        <v>19431036</v>
      </c>
      <c r="N96" s="1">
        <v>19572822</v>
      </c>
      <c r="O96" s="1">
        <v>19627354</v>
      </c>
      <c r="P96" s="9">
        <v>19663626.621461019</v>
      </c>
      <c r="Q96" s="9">
        <v>19683640.88148693</v>
      </c>
      <c r="R96" s="9">
        <v>19699211.333274852</v>
      </c>
      <c r="S96" s="9">
        <v>19705846.838391908</v>
      </c>
      <c r="T96" s="9">
        <v>19708902.696989302</v>
      </c>
      <c r="U96" s="9">
        <v>19710296.248141207</v>
      </c>
      <c r="V96" s="9">
        <v>19711031.909065876</v>
      </c>
      <c r="W96" s="1" t="s">
        <v>11</v>
      </c>
      <c r="X96" s="1" t="s">
        <v>11</v>
      </c>
      <c r="Y96" s="1" t="s">
        <v>11</v>
      </c>
      <c r="Z96" s="1" t="s">
        <v>11</v>
      </c>
      <c r="AA96" s="1" t="s">
        <v>11</v>
      </c>
    </row>
    <row r="97" spans="3:27" x14ac:dyDescent="0.3">
      <c r="C97" s="10" t="s">
        <v>23</v>
      </c>
      <c r="D97" s="1">
        <v>5184519</v>
      </c>
      <c r="E97" s="1">
        <v>7275135</v>
      </c>
      <c r="F97" s="1">
        <v>7974797</v>
      </c>
      <c r="G97" s="1">
        <v>11597296</v>
      </c>
      <c r="H97" s="1">
        <v>14585912</v>
      </c>
      <c r="I97" s="1">
        <v>16285147</v>
      </c>
      <c r="J97" s="1">
        <v>18338971</v>
      </c>
      <c r="K97" s="1">
        <v>19214501</v>
      </c>
      <c r="L97" s="1">
        <v>19700684</v>
      </c>
      <c r="M97" s="1">
        <v>19926910</v>
      </c>
      <c r="N97" s="1">
        <v>20049671</v>
      </c>
      <c r="O97" s="9">
        <v>20321044.693592474</v>
      </c>
      <c r="P97" s="9">
        <v>20372890.985065077</v>
      </c>
      <c r="Q97" s="9">
        <v>20413090.189308412</v>
      </c>
      <c r="R97" s="9">
        <v>20424976.140072867</v>
      </c>
      <c r="S97" s="9">
        <v>20432952.720556766</v>
      </c>
      <c r="T97" s="9">
        <v>20435579.733834587</v>
      </c>
      <c r="U97" s="9">
        <v>20436694.227069344</v>
      </c>
      <c r="V97" s="1" t="s">
        <v>11</v>
      </c>
      <c r="W97" s="1" t="s">
        <v>11</v>
      </c>
      <c r="X97" s="1" t="s">
        <v>11</v>
      </c>
      <c r="Y97" s="1" t="s">
        <v>11</v>
      </c>
      <c r="Z97" s="1" t="s">
        <v>11</v>
      </c>
      <c r="AA97" s="1" t="s">
        <v>11</v>
      </c>
    </row>
    <row r="98" spans="3:27" x14ac:dyDescent="0.3">
      <c r="C98" s="10" t="s">
        <v>24</v>
      </c>
      <c r="D98" s="1">
        <v>3419011</v>
      </c>
      <c r="E98" s="1">
        <v>4773306</v>
      </c>
      <c r="F98" s="1">
        <v>8697825</v>
      </c>
      <c r="G98" s="1">
        <v>12220494</v>
      </c>
      <c r="H98" s="1">
        <v>14462971</v>
      </c>
      <c r="I98" s="1">
        <v>16656668</v>
      </c>
      <c r="J98" s="1">
        <v>19017438</v>
      </c>
      <c r="K98" s="1">
        <v>19939378</v>
      </c>
      <c r="L98" s="1">
        <v>20384099</v>
      </c>
      <c r="M98" s="1">
        <v>20688336</v>
      </c>
      <c r="N98" s="9">
        <v>20898106.779323835</v>
      </c>
      <c r="O98" s="9">
        <v>21111691.658187851</v>
      </c>
      <c r="P98" s="9">
        <v>21152841.95796442</v>
      </c>
      <c r="Q98" s="9">
        <v>21178474.555380639</v>
      </c>
      <c r="R98" s="9">
        <v>21190675.627089337</v>
      </c>
      <c r="S98" s="9">
        <v>21197868.140018951</v>
      </c>
      <c r="T98" s="9">
        <v>21200593.496546071</v>
      </c>
      <c r="U98" s="1" t="s">
        <v>11</v>
      </c>
      <c r="V98" s="1" t="s">
        <v>11</v>
      </c>
      <c r="W98" s="1" t="s">
        <v>11</v>
      </c>
      <c r="X98" s="1" t="s">
        <v>11</v>
      </c>
      <c r="Y98" s="1" t="s">
        <v>11</v>
      </c>
      <c r="Z98" s="1" t="s">
        <v>11</v>
      </c>
      <c r="AA98" s="1" t="s">
        <v>11</v>
      </c>
    </row>
    <row r="99" spans="3:27" x14ac:dyDescent="0.3">
      <c r="C99" s="10" t="s">
        <v>25</v>
      </c>
      <c r="D99" s="1">
        <v>5498188</v>
      </c>
      <c r="E99" s="1">
        <v>10669557</v>
      </c>
      <c r="F99" s="1">
        <v>14420577</v>
      </c>
      <c r="G99" s="1">
        <v>17838126</v>
      </c>
      <c r="H99" s="1">
        <v>20243242</v>
      </c>
      <c r="I99" s="1">
        <v>22179116</v>
      </c>
      <c r="J99" s="1">
        <v>24155749</v>
      </c>
      <c r="K99" s="1">
        <v>25145296</v>
      </c>
      <c r="L99" s="1">
        <v>25647723</v>
      </c>
      <c r="M99" s="9">
        <v>26098747.921675768</v>
      </c>
      <c r="N99" s="9">
        <v>26335749.516929939</v>
      </c>
      <c r="O99" s="9">
        <v>26408644.013982724</v>
      </c>
      <c r="P99" s="9">
        <v>26457448.898615569</v>
      </c>
      <c r="Q99" s="9">
        <v>26487647.169072233</v>
      </c>
      <c r="R99" s="9">
        <v>26503070.158301111</v>
      </c>
      <c r="S99" s="9">
        <v>26509530.255591664</v>
      </c>
      <c r="T99" s="1" t="s">
        <v>11</v>
      </c>
      <c r="U99" s="1" t="s">
        <v>11</v>
      </c>
      <c r="V99" s="1" t="s">
        <v>11</v>
      </c>
      <c r="W99" s="1" t="s">
        <v>11</v>
      </c>
      <c r="X99" s="1" t="s">
        <v>11</v>
      </c>
      <c r="Y99" s="1" t="s">
        <v>11</v>
      </c>
      <c r="Z99" s="1" t="s">
        <v>11</v>
      </c>
      <c r="AA99" s="1" t="s">
        <v>11</v>
      </c>
    </row>
    <row r="100" spans="3:27" x14ac:dyDescent="0.3">
      <c r="C100" s="10" t="s">
        <v>26</v>
      </c>
      <c r="D100" s="1">
        <v>6382667</v>
      </c>
      <c r="E100" s="1">
        <v>10460689</v>
      </c>
      <c r="F100" s="1">
        <v>15242265</v>
      </c>
      <c r="G100" s="1">
        <v>19075882</v>
      </c>
      <c r="H100" s="1">
        <v>21908553</v>
      </c>
      <c r="I100" s="1">
        <v>23938666</v>
      </c>
      <c r="J100" s="1">
        <v>25653115</v>
      </c>
      <c r="K100" s="1">
        <v>26811464</v>
      </c>
      <c r="L100" s="9">
        <v>28221240.847572174</v>
      </c>
      <c r="M100" s="9">
        <v>29142397.83352071</v>
      </c>
      <c r="N100" s="9">
        <v>29351843.385160837</v>
      </c>
      <c r="O100" s="9">
        <v>29651827.971327163</v>
      </c>
      <c r="P100" s="9">
        <v>29731358.128840461</v>
      </c>
      <c r="Q100" s="9">
        <v>29798205.269866269</v>
      </c>
      <c r="R100" s="9">
        <v>29821776.69759728</v>
      </c>
      <c r="S100" s="1" t="s">
        <v>11</v>
      </c>
      <c r="T100" s="1" t="s">
        <v>11</v>
      </c>
      <c r="U100" s="1" t="s">
        <v>11</v>
      </c>
      <c r="V100" s="1" t="s">
        <v>11</v>
      </c>
      <c r="W100" s="1" t="s">
        <v>11</v>
      </c>
      <c r="X100" s="1" t="s">
        <v>11</v>
      </c>
      <c r="Y100" s="1" t="s">
        <v>11</v>
      </c>
      <c r="Z100" s="1" t="s">
        <v>11</v>
      </c>
      <c r="AA100" s="1" t="s">
        <v>11</v>
      </c>
    </row>
    <row r="101" spans="3:27" x14ac:dyDescent="0.3">
      <c r="C101" s="10" t="s">
        <v>27</v>
      </c>
      <c r="D101" s="1">
        <v>3022770</v>
      </c>
      <c r="E101" s="1">
        <v>7899209</v>
      </c>
      <c r="F101" s="1">
        <v>11259161</v>
      </c>
      <c r="G101" s="1">
        <v>14497513</v>
      </c>
      <c r="H101" s="1">
        <v>17221120</v>
      </c>
      <c r="I101" s="1">
        <v>19234288</v>
      </c>
      <c r="J101" s="1">
        <v>21399003</v>
      </c>
      <c r="K101" s="9">
        <v>22420623.520398337</v>
      </c>
      <c r="L101" s="9">
        <v>23161318.556421932</v>
      </c>
      <c r="M101" s="9">
        <v>23450348.822668999</v>
      </c>
      <c r="N101" s="9">
        <v>23594816.192262162</v>
      </c>
      <c r="O101" s="9">
        <v>23660553.903288014</v>
      </c>
      <c r="P101" s="9">
        <v>23709000.202297911</v>
      </c>
      <c r="Q101" s="9">
        <v>23738895.621809669</v>
      </c>
      <c r="R101" s="1" t="s">
        <v>11</v>
      </c>
      <c r="S101" s="1" t="s">
        <v>11</v>
      </c>
      <c r="T101" s="1" t="s">
        <v>11</v>
      </c>
      <c r="U101" s="1" t="s">
        <v>11</v>
      </c>
      <c r="V101" s="1" t="s">
        <v>11</v>
      </c>
      <c r="W101" s="1" t="s">
        <v>11</v>
      </c>
      <c r="X101" s="1" t="s">
        <v>11</v>
      </c>
      <c r="Y101" s="1" t="s">
        <v>11</v>
      </c>
      <c r="Z101" s="1" t="s">
        <v>11</v>
      </c>
      <c r="AA101" s="1" t="s">
        <v>11</v>
      </c>
    </row>
    <row r="102" spans="3:27" x14ac:dyDescent="0.3">
      <c r="C102" s="10" t="s">
        <v>28</v>
      </c>
      <c r="D102" s="1">
        <v>6936281</v>
      </c>
      <c r="E102" s="1">
        <v>21936281</v>
      </c>
      <c r="F102" s="1">
        <v>25150070</v>
      </c>
      <c r="G102" s="1">
        <v>28898330</v>
      </c>
      <c r="H102" s="1">
        <v>31903741</v>
      </c>
      <c r="I102" s="1">
        <v>33589263</v>
      </c>
      <c r="J102" s="9">
        <v>35791519.415994368</v>
      </c>
      <c r="K102" s="9">
        <v>37793088.939950541</v>
      </c>
      <c r="L102" s="9">
        <v>39020724.054758981</v>
      </c>
      <c r="M102" s="9">
        <v>39236436.954245813</v>
      </c>
      <c r="N102" s="9">
        <v>39592741.332454041</v>
      </c>
      <c r="O102" s="9">
        <v>40000570.458180428</v>
      </c>
      <c r="P102" s="9">
        <v>40080069.31377361</v>
      </c>
      <c r="Q102" s="1" t="s">
        <v>11</v>
      </c>
      <c r="R102" s="1" t="s">
        <v>11</v>
      </c>
      <c r="S102" s="1" t="s">
        <v>11</v>
      </c>
      <c r="T102" s="1" t="s">
        <v>11</v>
      </c>
      <c r="U102" s="1" t="s">
        <v>11</v>
      </c>
      <c r="V102" s="1" t="s">
        <v>11</v>
      </c>
      <c r="W102" s="1" t="s">
        <v>11</v>
      </c>
      <c r="X102" s="1" t="s">
        <v>11</v>
      </c>
      <c r="Y102" s="1" t="s">
        <v>11</v>
      </c>
      <c r="Z102" s="1" t="s">
        <v>11</v>
      </c>
      <c r="AA102" s="1" t="s">
        <v>11</v>
      </c>
    </row>
    <row r="103" spans="3:27" x14ac:dyDescent="0.3">
      <c r="C103" s="10" t="s">
        <v>29</v>
      </c>
      <c r="D103" s="1">
        <v>6691248</v>
      </c>
      <c r="E103" s="1">
        <v>11756013</v>
      </c>
      <c r="F103" s="1">
        <v>15391294</v>
      </c>
      <c r="G103" s="1">
        <v>18736499</v>
      </c>
      <c r="H103" s="1">
        <v>21705785</v>
      </c>
      <c r="I103" s="9">
        <v>25137870.705052555</v>
      </c>
      <c r="J103" s="9">
        <v>26253225.565145329</v>
      </c>
      <c r="K103" s="9">
        <v>34924860.866050549</v>
      </c>
      <c r="L103" s="9">
        <v>36209483.438978292</v>
      </c>
      <c r="M103" s="9">
        <v>36787595.329640098</v>
      </c>
      <c r="N103" s="9">
        <v>37320253.399395227</v>
      </c>
      <c r="O103" s="9">
        <v>37580911.744190052</v>
      </c>
      <c r="P103" s="1" t="s">
        <v>11</v>
      </c>
      <c r="Q103" s="1" t="s">
        <v>11</v>
      </c>
      <c r="R103" s="1" t="s">
        <v>11</v>
      </c>
      <c r="S103" s="1" t="s">
        <v>11</v>
      </c>
      <c r="T103" s="1" t="s">
        <v>11</v>
      </c>
      <c r="U103" s="1" t="s">
        <v>11</v>
      </c>
      <c r="V103" s="1" t="s">
        <v>11</v>
      </c>
      <c r="W103" s="1" t="s">
        <v>11</v>
      </c>
      <c r="X103" s="1" t="s">
        <v>11</v>
      </c>
      <c r="Y103" s="1" t="s">
        <v>11</v>
      </c>
      <c r="Z103" s="1" t="s">
        <v>11</v>
      </c>
      <c r="AA103" s="1" t="s">
        <v>11</v>
      </c>
    </row>
    <row r="104" spans="3:27" x14ac:dyDescent="0.3">
      <c r="C104" s="10" t="s">
        <v>30</v>
      </c>
      <c r="D104" s="1">
        <v>4191817</v>
      </c>
      <c r="E104" s="1">
        <v>9775450</v>
      </c>
      <c r="F104" s="1">
        <v>14374440</v>
      </c>
      <c r="G104" s="1">
        <v>17306094</v>
      </c>
      <c r="H104" s="9">
        <v>21275681.091986191</v>
      </c>
      <c r="I104" s="9">
        <v>24237832.499925278</v>
      </c>
      <c r="J104" s="9">
        <v>25973707.326520227</v>
      </c>
      <c r="K104" s="9">
        <v>26811701.60519572</v>
      </c>
      <c r="L104" s="9">
        <v>27490115.971591122</v>
      </c>
      <c r="M104" s="9">
        <v>27642085.797039248</v>
      </c>
      <c r="N104" s="9">
        <v>27982946.776782334</v>
      </c>
      <c r="O104" s="1" t="s">
        <v>11</v>
      </c>
      <c r="P104" s="1" t="s">
        <v>11</v>
      </c>
      <c r="Q104" s="1" t="s">
        <v>11</v>
      </c>
      <c r="R104" s="1" t="s">
        <v>11</v>
      </c>
      <c r="S104" s="1" t="s">
        <v>11</v>
      </c>
      <c r="T104" s="1" t="s">
        <v>11</v>
      </c>
      <c r="U104" s="1" t="s">
        <v>11</v>
      </c>
      <c r="V104" s="1" t="s">
        <v>11</v>
      </c>
      <c r="W104" s="1" t="s">
        <v>11</v>
      </c>
      <c r="X104" s="1" t="s">
        <v>11</v>
      </c>
      <c r="Y104" s="1" t="s">
        <v>11</v>
      </c>
      <c r="Z104" s="1" t="s">
        <v>11</v>
      </c>
      <c r="AA104" s="1" t="s">
        <v>11</v>
      </c>
    </row>
    <row r="105" spans="3:27" x14ac:dyDescent="0.3">
      <c r="C105" s="10" t="s">
        <v>31</v>
      </c>
      <c r="D105" s="1">
        <v>5916671</v>
      </c>
      <c r="E105" s="1">
        <v>11716355</v>
      </c>
      <c r="F105" s="1">
        <v>15374462</v>
      </c>
      <c r="G105" s="9">
        <v>16390213.741698958</v>
      </c>
      <c r="H105" s="9">
        <v>17971207.696592305</v>
      </c>
      <c r="I105" s="9">
        <v>19689805.623171106</v>
      </c>
      <c r="J105" s="9">
        <v>22173012.888306864</v>
      </c>
      <c r="K105" s="9">
        <v>22978560.925680678</v>
      </c>
      <c r="L105" s="9">
        <v>23724974.861968145</v>
      </c>
      <c r="M105" s="9">
        <v>24640789.133049667</v>
      </c>
      <c r="N105" s="1" t="s">
        <v>11</v>
      </c>
      <c r="O105" s="1" t="s">
        <v>11</v>
      </c>
      <c r="P105" s="1" t="s">
        <v>11</v>
      </c>
      <c r="Q105" s="1" t="s">
        <v>11</v>
      </c>
      <c r="R105" s="1" t="s">
        <v>11</v>
      </c>
      <c r="S105" s="1" t="s">
        <v>11</v>
      </c>
      <c r="T105" s="1" t="s">
        <v>11</v>
      </c>
      <c r="U105" s="1" t="s">
        <v>11</v>
      </c>
      <c r="V105" s="1" t="s">
        <v>11</v>
      </c>
      <c r="W105" s="1" t="s">
        <v>11</v>
      </c>
      <c r="X105" s="1" t="s">
        <v>11</v>
      </c>
      <c r="Y105" s="1" t="s">
        <v>11</v>
      </c>
      <c r="Z105" s="1" t="s">
        <v>11</v>
      </c>
      <c r="AA105" s="1" t="s">
        <v>11</v>
      </c>
    </row>
    <row r="106" spans="3:27" x14ac:dyDescent="0.3">
      <c r="C106" s="10" t="s">
        <v>32</v>
      </c>
      <c r="D106" s="1">
        <v>4926500</v>
      </c>
      <c r="E106" s="1">
        <v>9321834</v>
      </c>
      <c r="F106" s="9">
        <v>10218330.49389434</v>
      </c>
      <c r="G106" s="9">
        <v>12788366.213192735</v>
      </c>
      <c r="H106" s="9">
        <v>13312403.956044367</v>
      </c>
      <c r="I106" s="9">
        <v>14024370.28484544</v>
      </c>
      <c r="J106" s="9">
        <v>14646624.641249582</v>
      </c>
      <c r="K106" s="9">
        <v>15356673.446023054</v>
      </c>
      <c r="L106" s="9">
        <v>16164144.559123395</v>
      </c>
      <c r="M106" s="1" t="s">
        <v>11</v>
      </c>
      <c r="N106" s="1" t="s">
        <v>11</v>
      </c>
      <c r="O106" s="1" t="s">
        <v>11</v>
      </c>
      <c r="P106" s="1" t="s">
        <v>11</v>
      </c>
      <c r="Q106" s="1" t="s">
        <v>11</v>
      </c>
      <c r="R106" s="1" t="s">
        <v>11</v>
      </c>
      <c r="S106" s="1" t="s">
        <v>11</v>
      </c>
      <c r="T106" s="1" t="s">
        <v>11</v>
      </c>
      <c r="U106" s="1" t="s">
        <v>11</v>
      </c>
      <c r="V106" s="1" t="s">
        <v>11</v>
      </c>
      <c r="W106" s="1" t="s">
        <v>11</v>
      </c>
      <c r="X106" s="1" t="s">
        <v>11</v>
      </c>
      <c r="Y106" s="1" t="s">
        <v>11</v>
      </c>
      <c r="Z106" s="1" t="s">
        <v>11</v>
      </c>
      <c r="AA106" s="1" t="s">
        <v>11</v>
      </c>
    </row>
    <row r="107" spans="3:27" x14ac:dyDescent="0.3">
      <c r="C107" s="10" t="s">
        <v>33</v>
      </c>
      <c r="D107" s="1">
        <v>5149958</v>
      </c>
      <c r="E107" s="9">
        <v>9993796.2158816699</v>
      </c>
      <c r="F107" s="9">
        <v>12235686.410649884</v>
      </c>
      <c r="G107" s="9">
        <v>13674328.215469556</v>
      </c>
      <c r="H107" s="9">
        <v>15841381.480308346</v>
      </c>
      <c r="I107" s="9">
        <v>16394109.410252141</v>
      </c>
      <c r="J107" s="9">
        <v>16848529.133357372</v>
      </c>
      <c r="K107" s="9">
        <v>17392116.186231982</v>
      </c>
      <c r="L107" s="1" t="s">
        <v>11</v>
      </c>
      <c r="M107" s="1" t="s">
        <v>11</v>
      </c>
      <c r="N107" s="1" t="s">
        <v>11</v>
      </c>
      <c r="O107" s="1" t="s">
        <v>11</v>
      </c>
      <c r="P107" s="1" t="s">
        <v>11</v>
      </c>
      <c r="Q107" s="1" t="s">
        <v>11</v>
      </c>
      <c r="R107" s="1" t="s">
        <v>11</v>
      </c>
      <c r="S107" s="1" t="s">
        <v>11</v>
      </c>
      <c r="T107" s="1" t="s">
        <v>11</v>
      </c>
      <c r="U107" s="1" t="s">
        <v>11</v>
      </c>
      <c r="V107" s="1" t="s">
        <v>11</v>
      </c>
      <c r="W107" s="1" t="s">
        <v>11</v>
      </c>
      <c r="X107" s="1" t="s">
        <v>11</v>
      </c>
      <c r="Y107" s="1" t="s">
        <v>11</v>
      </c>
      <c r="Z107" s="1" t="s">
        <v>11</v>
      </c>
      <c r="AA107" s="1" t="s">
        <v>11</v>
      </c>
    </row>
  </sheetData>
  <mergeCells count="4">
    <mergeCell ref="C13:AA13"/>
    <mergeCell ref="F50:I50"/>
    <mergeCell ref="J50:M50"/>
    <mergeCell ref="C81:AA8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A690-8369-407B-9CC6-07301598932B}">
  <dimension ref="B2:AA107"/>
  <sheetViews>
    <sheetView showGridLines="0" workbookViewId="0">
      <selection activeCell="D83" sqref="D83:AA83"/>
    </sheetView>
  </sheetViews>
  <sheetFormatPr baseColWidth="10" defaultColWidth="8.88671875" defaultRowHeight="14.4" x14ac:dyDescent="0.3"/>
  <cols>
    <col min="4" max="4" width="14.109375" bestFit="1" customWidth="1"/>
    <col min="5" max="5" width="13.21875" bestFit="1" customWidth="1"/>
    <col min="6" max="9" width="13.109375" bestFit="1" customWidth="1"/>
    <col min="10" max="10" width="14.109375" bestFit="1" customWidth="1"/>
    <col min="11" max="27" width="13.109375" bestFit="1" customWidth="1"/>
  </cols>
  <sheetData>
    <row r="2" spans="3:27" x14ac:dyDescent="0.3">
      <c r="C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3:27" x14ac:dyDescent="0.3"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3:27" x14ac:dyDescent="0.3"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3:27" x14ac:dyDescent="0.3"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3:27" x14ac:dyDescent="0.3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3:27" x14ac:dyDescent="0.3">
      <c r="C7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3:27" x14ac:dyDescent="0.3">
      <c r="D8" s="1" t="s">
        <v>5</v>
      </c>
    </row>
    <row r="9" spans="3:27" x14ac:dyDescent="0.3">
      <c r="D9" s="1" t="s">
        <v>6</v>
      </c>
    </row>
    <row r="10" spans="3:27" x14ac:dyDescent="0.3">
      <c r="D10" s="1" t="s">
        <v>7</v>
      </c>
    </row>
    <row r="11" spans="3:27" x14ac:dyDescent="0.3">
      <c r="D11" s="1" t="s">
        <v>8</v>
      </c>
    </row>
    <row r="13" spans="3:27" ht="25.8" x14ac:dyDescent="0.5">
      <c r="C13" s="2" t="s">
        <v>46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5" spans="3:27" x14ac:dyDescent="0.3">
      <c r="D15" s="14">
        <v>1</v>
      </c>
      <c r="E15" s="14">
        <f>+D15+1</f>
        <v>2</v>
      </c>
      <c r="F15" s="14">
        <f t="shared" ref="F15:AA15" si="0">+E15+1</f>
        <v>3</v>
      </c>
      <c r="G15" s="14">
        <f t="shared" si="0"/>
        <v>4</v>
      </c>
      <c r="H15" s="14">
        <f t="shared" si="0"/>
        <v>5</v>
      </c>
      <c r="I15" s="14">
        <f t="shared" si="0"/>
        <v>6</v>
      </c>
      <c r="J15" s="14">
        <f t="shared" si="0"/>
        <v>7</v>
      </c>
      <c r="K15" s="14">
        <f t="shared" si="0"/>
        <v>8</v>
      </c>
      <c r="L15" s="14">
        <f t="shared" si="0"/>
        <v>9</v>
      </c>
      <c r="M15" s="14">
        <f t="shared" si="0"/>
        <v>10</v>
      </c>
      <c r="N15" s="14">
        <f t="shared" si="0"/>
        <v>11</v>
      </c>
      <c r="O15" s="14">
        <f t="shared" si="0"/>
        <v>12</v>
      </c>
      <c r="P15" s="14">
        <f t="shared" si="0"/>
        <v>13</v>
      </c>
      <c r="Q15" s="14">
        <f t="shared" si="0"/>
        <v>14</v>
      </c>
      <c r="R15" s="14">
        <f t="shared" si="0"/>
        <v>15</v>
      </c>
      <c r="S15" s="14">
        <f t="shared" si="0"/>
        <v>16</v>
      </c>
      <c r="T15" s="14">
        <f t="shared" si="0"/>
        <v>17</v>
      </c>
      <c r="U15" s="14">
        <f t="shared" si="0"/>
        <v>18</v>
      </c>
      <c r="V15" s="14">
        <f t="shared" si="0"/>
        <v>19</v>
      </c>
      <c r="W15" s="14">
        <f t="shared" si="0"/>
        <v>20</v>
      </c>
      <c r="X15" s="14">
        <f t="shared" si="0"/>
        <v>21</v>
      </c>
      <c r="Y15" s="14">
        <f t="shared" si="0"/>
        <v>22</v>
      </c>
      <c r="Z15" s="14">
        <f t="shared" si="0"/>
        <v>23</v>
      </c>
      <c r="AA15" s="14">
        <f t="shared" si="0"/>
        <v>24</v>
      </c>
    </row>
    <row r="16" spans="3:27" x14ac:dyDescent="0.3">
      <c r="C16" s="12" t="s">
        <v>9</v>
      </c>
      <c r="D16" s="3">
        <v>6418198</v>
      </c>
      <c r="E16" s="3">
        <v>8351947</v>
      </c>
      <c r="F16" s="3">
        <v>7241932</v>
      </c>
      <c r="G16" s="3">
        <v>6612057</v>
      </c>
      <c r="H16" s="3">
        <v>6678429</v>
      </c>
      <c r="I16" s="3">
        <v>6520501</v>
      </c>
      <c r="J16" s="3">
        <v>6390444</v>
      </c>
      <c r="K16" s="3">
        <v>6157365</v>
      </c>
      <c r="L16" s="3">
        <v>5998497</v>
      </c>
      <c r="M16" s="3">
        <v>5960040</v>
      </c>
      <c r="N16" s="3">
        <v>5927219</v>
      </c>
      <c r="O16" s="3">
        <v>5845151</v>
      </c>
      <c r="P16" s="3">
        <v>5844679</v>
      </c>
      <c r="Q16" s="3">
        <v>5823554</v>
      </c>
      <c r="R16" s="3">
        <v>5819414</v>
      </c>
      <c r="S16" s="3">
        <v>5817651</v>
      </c>
      <c r="T16" s="3">
        <v>5816446</v>
      </c>
      <c r="U16" s="3">
        <v>5815298</v>
      </c>
      <c r="V16" s="3">
        <v>5814997</v>
      </c>
      <c r="W16" s="3">
        <v>5814607</v>
      </c>
      <c r="X16" s="3">
        <v>5814513</v>
      </c>
      <c r="Y16" s="3">
        <v>5814520</v>
      </c>
      <c r="Z16" s="3">
        <v>5814527</v>
      </c>
      <c r="AA16" s="3">
        <v>5814528</v>
      </c>
    </row>
    <row r="17" spans="3:27" x14ac:dyDescent="0.3">
      <c r="C17" s="12" t="s">
        <v>10</v>
      </c>
      <c r="D17" s="3">
        <v>7475822</v>
      </c>
      <c r="E17" s="3">
        <v>10450029</v>
      </c>
      <c r="F17" s="3">
        <v>10185917</v>
      </c>
      <c r="G17" s="3">
        <v>9722137</v>
      </c>
      <c r="H17" s="3">
        <v>9434292</v>
      </c>
      <c r="I17" s="3">
        <v>9020873</v>
      </c>
      <c r="J17" s="3">
        <v>8704176</v>
      </c>
      <c r="K17" s="3">
        <v>8469008</v>
      </c>
      <c r="L17" s="3">
        <v>8349635</v>
      </c>
      <c r="M17" s="3">
        <v>8209160</v>
      </c>
      <c r="N17" s="3">
        <v>8096242</v>
      </c>
      <c r="O17" s="3">
        <v>8041381</v>
      </c>
      <c r="P17" s="3">
        <v>8008712</v>
      </c>
      <c r="Q17" s="3">
        <v>8003007</v>
      </c>
      <c r="R17" s="3">
        <v>8002023</v>
      </c>
      <c r="S17" s="3">
        <v>7997629</v>
      </c>
      <c r="T17" s="3">
        <v>7997019</v>
      </c>
      <c r="U17" s="3">
        <v>7996437</v>
      </c>
      <c r="V17" s="3">
        <v>7996215</v>
      </c>
      <c r="W17" s="3">
        <v>7995857</v>
      </c>
      <c r="X17" s="3">
        <v>7995850</v>
      </c>
      <c r="Y17" s="3">
        <v>7995866</v>
      </c>
      <c r="Z17" s="3">
        <v>7995874</v>
      </c>
      <c r="AA17" s="3" t="s">
        <v>11</v>
      </c>
    </row>
    <row r="18" spans="3:27" x14ac:dyDescent="0.3">
      <c r="C18" s="12" t="s">
        <v>12</v>
      </c>
      <c r="D18" s="3">
        <v>4944676</v>
      </c>
      <c r="E18" s="3">
        <v>5651989</v>
      </c>
      <c r="F18" s="3">
        <v>5515292</v>
      </c>
      <c r="G18" s="3">
        <v>5713405</v>
      </c>
      <c r="H18" s="3">
        <v>5462475</v>
      </c>
      <c r="I18" s="3">
        <v>5370959</v>
      </c>
      <c r="J18" s="3">
        <v>5305411</v>
      </c>
      <c r="K18" s="3">
        <v>5148861</v>
      </c>
      <c r="L18" s="3">
        <v>4913135</v>
      </c>
      <c r="M18" s="3">
        <v>4939885</v>
      </c>
      <c r="N18" s="3">
        <v>4852857</v>
      </c>
      <c r="O18" s="3">
        <v>4772843</v>
      </c>
      <c r="P18" s="3">
        <v>4722978</v>
      </c>
      <c r="Q18" s="3">
        <v>4724493</v>
      </c>
      <c r="R18" s="3">
        <v>4714404</v>
      </c>
      <c r="S18" s="3">
        <v>4711994</v>
      </c>
      <c r="T18" s="3">
        <v>4711744</v>
      </c>
      <c r="U18" s="3">
        <v>4711585</v>
      </c>
      <c r="V18" s="3">
        <v>4710817</v>
      </c>
      <c r="W18" s="3">
        <v>4710876</v>
      </c>
      <c r="X18" s="3">
        <v>4710870</v>
      </c>
      <c r="Y18" s="3">
        <v>4710870</v>
      </c>
      <c r="Z18" s="3" t="s">
        <v>11</v>
      </c>
      <c r="AA18" s="3" t="s">
        <v>11</v>
      </c>
    </row>
    <row r="19" spans="3:27" x14ac:dyDescent="0.3">
      <c r="C19" s="12" t="s">
        <v>13</v>
      </c>
      <c r="D19" s="3">
        <v>5990844</v>
      </c>
      <c r="E19" s="3">
        <v>8317434</v>
      </c>
      <c r="F19" s="3">
        <v>7538034</v>
      </c>
      <c r="G19" s="3">
        <v>7146705</v>
      </c>
      <c r="H19" s="3">
        <v>6480112</v>
      </c>
      <c r="I19" s="3">
        <v>5918174</v>
      </c>
      <c r="J19" s="3">
        <v>5524711</v>
      </c>
      <c r="K19" s="3">
        <v>5379113</v>
      </c>
      <c r="L19" s="3">
        <v>5282322</v>
      </c>
      <c r="M19" s="3">
        <v>5218946</v>
      </c>
      <c r="N19" s="3">
        <v>5148288</v>
      </c>
      <c r="O19" s="3">
        <v>5055569</v>
      </c>
      <c r="P19" s="3">
        <v>5052150</v>
      </c>
      <c r="Q19" s="3">
        <v>5048881</v>
      </c>
      <c r="R19" s="3">
        <v>5049883</v>
      </c>
      <c r="S19" s="3">
        <v>5047150</v>
      </c>
      <c r="T19" s="3">
        <v>5047033</v>
      </c>
      <c r="U19" s="3">
        <v>5046810</v>
      </c>
      <c r="V19" s="3">
        <v>5046112</v>
      </c>
      <c r="W19" s="3">
        <v>5046155</v>
      </c>
      <c r="X19" s="3">
        <v>5046123</v>
      </c>
      <c r="Y19" s="3" t="s">
        <v>11</v>
      </c>
      <c r="Z19" s="3" t="s">
        <v>11</v>
      </c>
      <c r="AA19" s="3" t="s">
        <v>11</v>
      </c>
    </row>
    <row r="20" spans="3:27" x14ac:dyDescent="0.3">
      <c r="C20" s="12" t="s">
        <v>14</v>
      </c>
      <c r="D20" s="3">
        <v>6106533</v>
      </c>
      <c r="E20" s="3">
        <v>7227067</v>
      </c>
      <c r="F20" s="3">
        <v>6609141</v>
      </c>
      <c r="G20" s="3">
        <v>6587986</v>
      </c>
      <c r="H20" s="3">
        <v>5966963</v>
      </c>
      <c r="I20" s="3">
        <v>5553219</v>
      </c>
      <c r="J20" s="3">
        <v>5440658</v>
      </c>
      <c r="K20" s="3">
        <v>5247292</v>
      </c>
      <c r="L20" s="3">
        <v>4989511</v>
      </c>
      <c r="M20" s="3">
        <v>4739938</v>
      </c>
      <c r="N20" s="3">
        <v>4632683</v>
      </c>
      <c r="O20" s="3">
        <v>4647858</v>
      </c>
      <c r="P20" s="3">
        <v>4648748</v>
      </c>
      <c r="Q20" s="3">
        <v>4631093</v>
      </c>
      <c r="R20" s="3">
        <v>4618736</v>
      </c>
      <c r="S20" s="3">
        <v>4614941</v>
      </c>
      <c r="T20" s="3">
        <v>4614019</v>
      </c>
      <c r="U20" s="3">
        <v>4612810</v>
      </c>
      <c r="V20" s="3">
        <v>4612218</v>
      </c>
      <c r="W20" s="3">
        <v>4612035</v>
      </c>
      <c r="X20" s="3" t="s">
        <v>11</v>
      </c>
      <c r="Y20" s="3" t="s">
        <v>11</v>
      </c>
      <c r="Z20" s="3" t="s">
        <v>11</v>
      </c>
      <c r="AA20" s="3" t="s">
        <v>11</v>
      </c>
    </row>
    <row r="21" spans="3:27" x14ac:dyDescent="0.3">
      <c r="C21" s="12" t="s">
        <v>15</v>
      </c>
      <c r="D21" s="3">
        <v>3511339</v>
      </c>
      <c r="E21" s="3">
        <v>5097855</v>
      </c>
      <c r="F21" s="3">
        <v>4392249</v>
      </c>
      <c r="G21" s="3">
        <v>4331724</v>
      </c>
      <c r="H21" s="3">
        <v>3638678</v>
      </c>
      <c r="I21" s="3">
        <v>3261200</v>
      </c>
      <c r="J21" s="3">
        <v>2912378</v>
      </c>
      <c r="K21" s="3">
        <v>2561746</v>
      </c>
      <c r="L21" s="3">
        <v>2608839</v>
      </c>
      <c r="M21" s="3">
        <v>2512337</v>
      </c>
      <c r="N21" s="3">
        <v>2525572</v>
      </c>
      <c r="O21" s="3">
        <v>2539117</v>
      </c>
      <c r="P21" s="3">
        <v>2502024</v>
      </c>
      <c r="Q21" s="3">
        <v>2495301</v>
      </c>
      <c r="R21" s="3">
        <v>2491023</v>
      </c>
      <c r="S21" s="3">
        <v>2490185</v>
      </c>
      <c r="T21" s="3">
        <v>2490716</v>
      </c>
      <c r="U21" s="3">
        <v>2490652</v>
      </c>
      <c r="V21" s="3">
        <v>2490228</v>
      </c>
      <c r="W21" s="3" t="s">
        <v>11</v>
      </c>
      <c r="X21" s="3" t="s">
        <v>11</v>
      </c>
      <c r="Y21" s="3" t="s">
        <v>11</v>
      </c>
      <c r="Z21" s="3" t="s">
        <v>11</v>
      </c>
      <c r="AA21" s="3" t="s">
        <v>11</v>
      </c>
    </row>
    <row r="22" spans="3:27" x14ac:dyDescent="0.3">
      <c r="C22" s="12" t="s">
        <v>16</v>
      </c>
      <c r="D22" s="3">
        <v>4141271</v>
      </c>
      <c r="E22" s="3">
        <v>5675304</v>
      </c>
      <c r="F22" s="3">
        <v>5003527</v>
      </c>
      <c r="G22" s="3">
        <v>4490079</v>
      </c>
      <c r="H22" s="3">
        <v>3864708</v>
      </c>
      <c r="I22" s="3">
        <v>3317046</v>
      </c>
      <c r="J22" s="3">
        <v>3043775</v>
      </c>
      <c r="K22" s="3">
        <v>2982731</v>
      </c>
      <c r="L22" s="3">
        <v>2853880</v>
      </c>
      <c r="M22" s="3">
        <v>2708486</v>
      </c>
      <c r="N22" s="3">
        <v>2687185</v>
      </c>
      <c r="O22" s="3">
        <v>2706223</v>
      </c>
      <c r="P22" s="3">
        <v>2663612</v>
      </c>
      <c r="Q22" s="3">
        <v>2649484</v>
      </c>
      <c r="R22" s="3">
        <v>2644988</v>
      </c>
      <c r="S22" s="3">
        <v>2644539</v>
      </c>
      <c r="T22" s="3">
        <v>2642763</v>
      </c>
      <c r="U22" s="3">
        <v>2642281</v>
      </c>
      <c r="V22" s="3" t="s">
        <v>11</v>
      </c>
      <c r="W22" s="3" t="s">
        <v>11</v>
      </c>
      <c r="X22" s="3" t="s">
        <v>11</v>
      </c>
      <c r="Y22" s="3" t="s">
        <v>11</v>
      </c>
      <c r="Z22" s="3" t="s">
        <v>11</v>
      </c>
      <c r="AA22" s="3" t="s">
        <v>11</v>
      </c>
    </row>
    <row r="23" spans="3:27" x14ac:dyDescent="0.3">
      <c r="C23" s="12" t="s">
        <v>17</v>
      </c>
      <c r="D23" s="3">
        <v>6591656</v>
      </c>
      <c r="E23" s="3">
        <v>9149839</v>
      </c>
      <c r="F23" s="3">
        <v>9246786</v>
      </c>
      <c r="G23" s="3">
        <v>8427024</v>
      </c>
      <c r="H23" s="3">
        <v>7881930</v>
      </c>
      <c r="I23" s="3">
        <v>7889306</v>
      </c>
      <c r="J23" s="3">
        <v>7459046</v>
      </c>
      <c r="K23" s="3">
        <v>7134362</v>
      </c>
      <c r="L23" s="3">
        <v>7020325</v>
      </c>
      <c r="M23" s="3">
        <v>6829753</v>
      </c>
      <c r="N23" s="3">
        <v>6654101</v>
      </c>
      <c r="O23" s="3">
        <v>6564713</v>
      </c>
      <c r="P23" s="3">
        <v>6557312</v>
      </c>
      <c r="Q23" s="3">
        <v>6540955</v>
      </c>
      <c r="R23" s="3">
        <v>6539478</v>
      </c>
      <c r="S23" s="3">
        <v>6538852</v>
      </c>
      <c r="T23" s="3">
        <v>6538885</v>
      </c>
      <c r="U23" s="3" t="s">
        <v>11</v>
      </c>
      <c r="V23" s="3" t="s">
        <v>11</v>
      </c>
      <c r="W23" s="3" t="s">
        <v>11</v>
      </c>
      <c r="X23" s="3" t="s">
        <v>11</v>
      </c>
      <c r="Y23" s="3" t="s">
        <v>11</v>
      </c>
      <c r="Z23" s="3" t="s">
        <v>11</v>
      </c>
      <c r="AA23" s="3" t="s">
        <v>11</v>
      </c>
    </row>
    <row r="24" spans="3:27" x14ac:dyDescent="0.3">
      <c r="C24" s="12" t="s">
        <v>18</v>
      </c>
      <c r="D24" s="3">
        <v>6289704</v>
      </c>
      <c r="E24" s="3">
        <v>9074583</v>
      </c>
      <c r="F24" s="3">
        <v>7921104</v>
      </c>
      <c r="G24" s="3">
        <v>7241833</v>
      </c>
      <c r="H24" s="3">
        <v>6605506</v>
      </c>
      <c r="I24" s="3">
        <v>6368774</v>
      </c>
      <c r="J24" s="3">
        <v>5993512</v>
      </c>
      <c r="K24" s="3">
        <v>6063255</v>
      </c>
      <c r="L24" s="3">
        <v>6123811</v>
      </c>
      <c r="M24" s="3">
        <v>6142139</v>
      </c>
      <c r="N24" s="3">
        <v>6109898</v>
      </c>
      <c r="O24" s="3">
        <v>6094584</v>
      </c>
      <c r="P24" s="3">
        <v>6054429</v>
      </c>
      <c r="Q24" s="3">
        <v>6045198</v>
      </c>
      <c r="R24" s="3">
        <v>6039123</v>
      </c>
      <c r="S24" s="3">
        <v>6037298</v>
      </c>
      <c r="T24" s="3" t="s">
        <v>11</v>
      </c>
      <c r="U24" s="3" t="s">
        <v>11</v>
      </c>
      <c r="V24" s="3" t="s">
        <v>11</v>
      </c>
      <c r="W24" s="3" t="s">
        <v>11</v>
      </c>
      <c r="X24" s="3" t="s">
        <v>11</v>
      </c>
      <c r="Y24" s="3" t="s">
        <v>11</v>
      </c>
      <c r="Z24" s="3" t="s">
        <v>11</v>
      </c>
      <c r="AA24" s="3" t="s">
        <v>11</v>
      </c>
    </row>
    <row r="25" spans="3:27" x14ac:dyDescent="0.3">
      <c r="C25" s="12" t="s">
        <v>19</v>
      </c>
      <c r="D25" s="3">
        <v>4959185</v>
      </c>
      <c r="E25" s="3">
        <v>7332815</v>
      </c>
      <c r="F25" s="3">
        <v>6338245</v>
      </c>
      <c r="G25" s="3">
        <v>6335214</v>
      </c>
      <c r="H25" s="3">
        <v>5820802</v>
      </c>
      <c r="I25" s="3">
        <v>5372283</v>
      </c>
      <c r="J25" s="3">
        <v>5126418</v>
      </c>
      <c r="K25" s="3">
        <v>4909923</v>
      </c>
      <c r="L25" s="3">
        <v>4699737</v>
      </c>
      <c r="M25" s="3">
        <v>4565993</v>
      </c>
      <c r="N25" s="3">
        <v>4388069</v>
      </c>
      <c r="O25" s="3">
        <v>4350454</v>
      </c>
      <c r="P25" s="3">
        <v>4349470</v>
      </c>
      <c r="Q25" s="3">
        <v>4354085</v>
      </c>
      <c r="R25" s="3">
        <v>4354413</v>
      </c>
      <c r="S25" s="3" t="s">
        <v>11</v>
      </c>
      <c r="T25" s="3" t="s">
        <v>11</v>
      </c>
      <c r="U25" s="3" t="s">
        <v>11</v>
      </c>
      <c r="V25" s="3" t="s">
        <v>11</v>
      </c>
      <c r="W25" s="3" t="s">
        <v>11</v>
      </c>
      <c r="X25" s="3" t="s">
        <v>11</v>
      </c>
      <c r="Y25" s="3" t="s">
        <v>11</v>
      </c>
      <c r="Z25" s="3" t="s">
        <v>11</v>
      </c>
      <c r="AA25" s="3" t="s">
        <v>11</v>
      </c>
    </row>
    <row r="26" spans="3:27" x14ac:dyDescent="0.3">
      <c r="C26" s="12" t="s">
        <v>20</v>
      </c>
      <c r="D26" s="3">
        <v>6194048</v>
      </c>
      <c r="E26" s="3">
        <v>7741218</v>
      </c>
      <c r="F26" s="3">
        <v>6754577</v>
      </c>
      <c r="G26" s="3">
        <v>6157468</v>
      </c>
      <c r="H26" s="3">
        <v>5562103</v>
      </c>
      <c r="I26" s="3">
        <v>5078341</v>
      </c>
      <c r="J26" s="3">
        <v>5094245</v>
      </c>
      <c r="K26" s="3">
        <v>4970573</v>
      </c>
      <c r="L26" s="3">
        <v>4756133</v>
      </c>
      <c r="M26" s="3">
        <v>4568920</v>
      </c>
      <c r="N26" s="3">
        <v>4414181</v>
      </c>
      <c r="O26" s="3">
        <v>4318353</v>
      </c>
      <c r="P26" s="3">
        <v>4308927</v>
      </c>
      <c r="Q26" s="3">
        <v>4284653</v>
      </c>
      <c r="R26" s="3" t="s">
        <v>11</v>
      </c>
      <c r="S26" s="3" t="s">
        <v>11</v>
      </c>
      <c r="T26" s="3" t="s">
        <v>11</v>
      </c>
      <c r="U26" s="3" t="s">
        <v>11</v>
      </c>
      <c r="V26" s="3" t="s">
        <v>11</v>
      </c>
      <c r="W26" s="3" t="s">
        <v>11</v>
      </c>
      <c r="X26" s="3" t="s">
        <v>11</v>
      </c>
      <c r="Y26" s="3" t="s">
        <v>11</v>
      </c>
      <c r="Z26" s="3" t="s">
        <v>11</v>
      </c>
      <c r="AA26" s="3" t="s">
        <v>11</v>
      </c>
    </row>
    <row r="27" spans="3:27" x14ac:dyDescent="0.3">
      <c r="C27" s="12" t="s">
        <v>21</v>
      </c>
      <c r="D27" s="3">
        <v>6500694</v>
      </c>
      <c r="E27" s="3">
        <v>9436157</v>
      </c>
      <c r="F27" s="3">
        <v>8641541</v>
      </c>
      <c r="G27" s="3">
        <v>8462835</v>
      </c>
      <c r="H27" s="3">
        <v>8478196</v>
      </c>
      <c r="I27" s="3">
        <v>8406511</v>
      </c>
      <c r="J27" s="3">
        <v>7938776</v>
      </c>
      <c r="K27" s="3">
        <v>7694015</v>
      </c>
      <c r="L27" s="3">
        <v>7414340</v>
      </c>
      <c r="M27" s="3">
        <v>7365359</v>
      </c>
      <c r="N27" s="3">
        <v>7323515</v>
      </c>
      <c r="O27" s="3">
        <v>7284864</v>
      </c>
      <c r="P27" s="3">
        <v>7266841</v>
      </c>
      <c r="Q27" s="3" t="s">
        <v>11</v>
      </c>
      <c r="R27" s="3" t="s">
        <v>11</v>
      </c>
      <c r="S27" s="3" t="s">
        <v>11</v>
      </c>
      <c r="T27" s="3" t="s">
        <v>11</v>
      </c>
      <c r="U27" s="3" t="s">
        <v>11</v>
      </c>
      <c r="V27" s="3" t="s">
        <v>11</v>
      </c>
      <c r="W27" s="3" t="s">
        <v>11</v>
      </c>
      <c r="X27" s="3" t="s">
        <v>11</v>
      </c>
      <c r="Y27" s="3" t="s">
        <v>11</v>
      </c>
      <c r="Z27" s="3" t="s">
        <v>11</v>
      </c>
      <c r="AA27" s="3" t="s">
        <v>11</v>
      </c>
    </row>
    <row r="28" spans="3:27" x14ac:dyDescent="0.3">
      <c r="C28" s="12" t="s">
        <v>22</v>
      </c>
      <c r="D28" s="3">
        <v>5205434</v>
      </c>
      <c r="E28" s="3">
        <v>7752400</v>
      </c>
      <c r="F28" s="3">
        <v>7497356</v>
      </c>
      <c r="G28" s="3">
        <v>7293599</v>
      </c>
      <c r="H28" s="3">
        <v>6566528</v>
      </c>
      <c r="I28" s="3">
        <v>6681703</v>
      </c>
      <c r="J28" s="3">
        <v>6326840</v>
      </c>
      <c r="K28" s="3">
        <v>6334277</v>
      </c>
      <c r="L28" s="3">
        <v>6175261</v>
      </c>
      <c r="M28" s="3">
        <v>6025240</v>
      </c>
      <c r="N28" s="3">
        <v>5846424</v>
      </c>
      <c r="O28" s="3">
        <v>5844768</v>
      </c>
      <c r="P28" s="3" t="s">
        <v>11</v>
      </c>
      <c r="Q28" s="3" t="s">
        <v>11</v>
      </c>
      <c r="R28" s="3" t="s">
        <v>11</v>
      </c>
      <c r="S28" s="3" t="s">
        <v>11</v>
      </c>
      <c r="T28" s="3" t="s">
        <v>11</v>
      </c>
      <c r="U28" s="3" t="s">
        <v>11</v>
      </c>
      <c r="V28" s="3" t="s">
        <v>11</v>
      </c>
      <c r="W28" s="3" t="s">
        <v>11</v>
      </c>
      <c r="X28" s="3" t="s">
        <v>11</v>
      </c>
      <c r="Y28" s="3" t="s">
        <v>11</v>
      </c>
      <c r="Z28" s="3" t="s">
        <v>11</v>
      </c>
      <c r="AA28" s="3" t="s">
        <v>11</v>
      </c>
    </row>
    <row r="29" spans="3:27" x14ac:dyDescent="0.3">
      <c r="C29" s="12" t="s">
        <v>23</v>
      </c>
      <c r="D29" s="3">
        <v>5184519</v>
      </c>
      <c r="E29" s="3">
        <v>7275135</v>
      </c>
      <c r="F29" s="3">
        <v>7269751</v>
      </c>
      <c r="G29" s="3">
        <v>6967745</v>
      </c>
      <c r="H29" s="3">
        <v>6399402</v>
      </c>
      <c r="I29" s="3">
        <v>5827678</v>
      </c>
      <c r="J29" s="3">
        <v>5837462</v>
      </c>
      <c r="K29" s="3">
        <v>5752901</v>
      </c>
      <c r="L29" s="3">
        <v>5510232</v>
      </c>
      <c r="M29" s="3">
        <v>5306283</v>
      </c>
      <c r="N29" s="3">
        <v>5171805</v>
      </c>
      <c r="O29" s="3" t="s">
        <v>11</v>
      </c>
      <c r="P29" s="3" t="s">
        <v>11</v>
      </c>
      <c r="Q29" s="3" t="s">
        <v>11</v>
      </c>
      <c r="R29" s="3" t="s">
        <v>11</v>
      </c>
      <c r="S29" s="3" t="s">
        <v>11</v>
      </c>
      <c r="T29" s="3" t="s">
        <v>11</v>
      </c>
      <c r="U29" s="3" t="s">
        <v>11</v>
      </c>
      <c r="V29" s="3" t="s">
        <v>11</v>
      </c>
      <c r="W29" s="3" t="s">
        <v>11</v>
      </c>
      <c r="X29" s="3" t="s">
        <v>11</v>
      </c>
      <c r="Y29" s="3" t="s">
        <v>11</v>
      </c>
      <c r="Z29" s="3" t="s">
        <v>11</v>
      </c>
      <c r="AA29" s="3" t="s">
        <v>11</v>
      </c>
    </row>
    <row r="30" spans="3:27" x14ac:dyDescent="0.3">
      <c r="C30" s="12" t="s">
        <v>24</v>
      </c>
      <c r="D30" s="3">
        <v>3419011</v>
      </c>
      <c r="E30" s="3">
        <v>4773306</v>
      </c>
      <c r="F30" s="3">
        <v>3716822</v>
      </c>
      <c r="G30" s="3">
        <v>3313659</v>
      </c>
      <c r="H30" s="3">
        <v>3377536</v>
      </c>
      <c r="I30" s="3">
        <v>3222093</v>
      </c>
      <c r="J30" s="3">
        <v>2783981</v>
      </c>
      <c r="K30" s="3">
        <v>2603716</v>
      </c>
      <c r="L30" s="3">
        <v>2643618</v>
      </c>
      <c r="M30" s="3">
        <v>2473125</v>
      </c>
      <c r="N30" s="3" t="s">
        <v>11</v>
      </c>
      <c r="O30" s="3" t="s">
        <v>11</v>
      </c>
      <c r="P30" s="3" t="s">
        <v>11</v>
      </c>
      <c r="Q30" s="3" t="s">
        <v>11</v>
      </c>
      <c r="R30" s="3" t="s">
        <v>11</v>
      </c>
      <c r="S30" s="3" t="s">
        <v>11</v>
      </c>
      <c r="T30" s="3" t="s">
        <v>11</v>
      </c>
      <c r="U30" s="3" t="s">
        <v>11</v>
      </c>
      <c r="V30" s="3" t="s">
        <v>11</v>
      </c>
      <c r="W30" s="3" t="s">
        <v>11</v>
      </c>
      <c r="X30" s="3" t="s">
        <v>11</v>
      </c>
      <c r="Y30" s="3" t="s">
        <v>11</v>
      </c>
      <c r="Z30" s="3" t="s">
        <v>11</v>
      </c>
      <c r="AA30" s="3" t="s">
        <v>11</v>
      </c>
    </row>
    <row r="31" spans="3:27" x14ac:dyDescent="0.3">
      <c r="C31" s="12" t="s">
        <v>25</v>
      </c>
      <c r="D31" s="3">
        <v>5498188</v>
      </c>
      <c r="E31" s="3">
        <v>10669557</v>
      </c>
      <c r="F31" s="3">
        <v>10857709</v>
      </c>
      <c r="G31" s="3">
        <v>14275258</v>
      </c>
      <c r="H31" s="3">
        <v>14084665</v>
      </c>
      <c r="I31" s="3">
        <v>14163048</v>
      </c>
      <c r="J31" s="3">
        <v>13850553</v>
      </c>
      <c r="K31" s="3">
        <v>13534768</v>
      </c>
      <c r="L31" s="3">
        <v>13371613</v>
      </c>
      <c r="M31" s="3" t="s">
        <v>11</v>
      </c>
      <c r="N31" s="3" t="s">
        <v>11</v>
      </c>
      <c r="O31" s="3" t="s">
        <v>11</v>
      </c>
      <c r="P31" s="3" t="s">
        <v>11</v>
      </c>
      <c r="Q31" s="3" t="s">
        <v>11</v>
      </c>
      <c r="R31" s="3" t="s">
        <v>11</v>
      </c>
      <c r="S31" s="3" t="s">
        <v>11</v>
      </c>
      <c r="T31" s="3" t="s">
        <v>11</v>
      </c>
      <c r="U31" s="3" t="s">
        <v>11</v>
      </c>
      <c r="V31" s="3" t="s">
        <v>11</v>
      </c>
      <c r="W31" s="3" t="s">
        <v>11</v>
      </c>
      <c r="X31" s="3" t="s">
        <v>11</v>
      </c>
      <c r="Y31" s="3" t="s">
        <v>11</v>
      </c>
      <c r="Z31" s="3" t="s">
        <v>11</v>
      </c>
      <c r="AA31" s="3" t="s">
        <v>11</v>
      </c>
    </row>
    <row r="32" spans="3:27" x14ac:dyDescent="0.3">
      <c r="C32" s="12" t="s">
        <v>26</v>
      </c>
      <c r="D32" s="3">
        <v>6382667</v>
      </c>
      <c r="E32" s="3">
        <v>10460689</v>
      </c>
      <c r="F32" s="3">
        <v>9727516</v>
      </c>
      <c r="G32" s="3">
        <v>13561133</v>
      </c>
      <c r="H32" s="3">
        <v>12865538</v>
      </c>
      <c r="I32" s="3">
        <v>12816850</v>
      </c>
      <c r="J32" s="3">
        <v>12593535</v>
      </c>
      <c r="K32" s="3">
        <v>12422697</v>
      </c>
      <c r="L32" s="3" t="s">
        <v>11</v>
      </c>
      <c r="M32" s="3" t="s">
        <v>11</v>
      </c>
      <c r="N32" s="3" t="s">
        <v>11</v>
      </c>
      <c r="O32" s="3" t="s">
        <v>11</v>
      </c>
      <c r="P32" s="3" t="s">
        <v>11</v>
      </c>
      <c r="Q32" s="3" t="s">
        <v>11</v>
      </c>
      <c r="R32" s="3" t="s">
        <v>11</v>
      </c>
      <c r="S32" s="3" t="s">
        <v>11</v>
      </c>
      <c r="T32" s="3" t="s">
        <v>11</v>
      </c>
      <c r="U32" s="3" t="s">
        <v>11</v>
      </c>
      <c r="V32" s="3" t="s">
        <v>11</v>
      </c>
      <c r="W32" s="3" t="s">
        <v>11</v>
      </c>
      <c r="X32" s="3" t="s">
        <v>11</v>
      </c>
      <c r="Y32" s="3" t="s">
        <v>11</v>
      </c>
      <c r="Z32" s="3" t="s">
        <v>11</v>
      </c>
      <c r="AA32" s="3" t="s">
        <v>11</v>
      </c>
    </row>
    <row r="33" spans="3:27" x14ac:dyDescent="0.3">
      <c r="C33" s="12" t="s">
        <v>27</v>
      </c>
      <c r="D33" s="3">
        <v>3022770</v>
      </c>
      <c r="E33" s="3">
        <v>7899209</v>
      </c>
      <c r="F33" s="3">
        <v>7498380</v>
      </c>
      <c r="G33" s="3">
        <v>10736732</v>
      </c>
      <c r="H33" s="3">
        <v>10856995</v>
      </c>
      <c r="I33" s="3">
        <v>10834399</v>
      </c>
      <c r="J33" s="3">
        <v>10568629</v>
      </c>
      <c r="K33" s="3" t="s">
        <v>11</v>
      </c>
      <c r="L33" s="3" t="s">
        <v>11</v>
      </c>
      <c r="M33" s="3" t="s">
        <v>11</v>
      </c>
      <c r="N33" s="3" t="s">
        <v>11</v>
      </c>
      <c r="O33" s="3" t="s">
        <v>11</v>
      </c>
      <c r="P33" s="3" t="s">
        <v>11</v>
      </c>
      <c r="Q33" s="3" t="s">
        <v>11</v>
      </c>
      <c r="R33" s="3" t="s">
        <v>11</v>
      </c>
      <c r="S33" s="3" t="s">
        <v>11</v>
      </c>
      <c r="T33" s="3" t="s">
        <v>11</v>
      </c>
      <c r="U33" s="3" t="s">
        <v>11</v>
      </c>
      <c r="V33" s="3" t="s">
        <v>11</v>
      </c>
      <c r="W33" s="3" t="s">
        <v>11</v>
      </c>
      <c r="X33" s="3" t="s">
        <v>11</v>
      </c>
      <c r="Y33" s="3" t="s">
        <v>11</v>
      </c>
      <c r="Z33" s="3" t="s">
        <v>11</v>
      </c>
      <c r="AA33" s="3" t="s">
        <v>11</v>
      </c>
    </row>
    <row r="34" spans="3:27" x14ac:dyDescent="0.3">
      <c r="C34" s="12" t="s">
        <v>28</v>
      </c>
      <c r="D34" s="3">
        <v>6936281</v>
      </c>
      <c r="E34" s="3">
        <v>21936281</v>
      </c>
      <c r="F34" s="3">
        <v>21767538</v>
      </c>
      <c r="G34" s="3">
        <v>25515798</v>
      </c>
      <c r="H34" s="3">
        <v>25644750</v>
      </c>
      <c r="I34" s="3">
        <v>25593031</v>
      </c>
      <c r="J34" s="3" t="s">
        <v>11</v>
      </c>
      <c r="K34" s="3" t="s">
        <v>11</v>
      </c>
      <c r="L34" s="3" t="s">
        <v>11</v>
      </c>
      <c r="M34" s="3" t="s">
        <v>11</v>
      </c>
      <c r="N34" s="3" t="s">
        <v>11</v>
      </c>
      <c r="O34" s="3" t="s">
        <v>11</v>
      </c>
      <c r="P34" s="3" t="s">
        <v>11</v>
      </c>
      <c r="Q34" s="3" t="s">
        <v>11</v>
      </c>
      <c r="R34" s="3" t="s">
        <v>11</v>
      </c>
      <c r="S34" s="3" t="s">
        <v>11</v>
      </c>
      <c r="T34" s="3" t="s">
        <v>11</v>
      </c>
      <c r="U34" s="3" t="s">
        <v>11</v>
      </c>
      <c r="V34" s="3" t="s">
        <v>11</v>
      </c>
      <c r="W34" s="3" t="s">
        <v>11</v>
      </c>
      <c r="X34" s="3" t="s">
        <v>11</v>
      </c>
      <c r="Y34" s="3" t="s">
        <v>11</v>
      </c>
      <c r="Z34" s="3" t="s">
        <v>11</v>
      </c>
      <c r="AA34" s="3" t="s">
        <v>11</v>
      </c>
    </row>
    <row r="35" spans="3:27" x14ac:dyDescent="0.3">
      <c r="C35" s="12" t="s">
        <v>29</v>
      </c>
      <c r="D35" s="3">
        <v>6691248</v>
      </c>
      <c r="E35" s="3">
        <v>11756013</v>
      </c>
      <c r="F35" s="3">
        <v>11113520</v>
      </c>
      <c r="G35" s="3">
        <v>14458725</v>
      </c>
      <c r="H35" s="3">
        <v>14275150</v>
      </c>
      <c r="I35" s="3" t="s">
        <v>11</v>
      </c>
      <c r="J35" s="3" t="s">
        <v>11</v>
      </c>
      <c r="K35" s="3" t="s">
        <v>11</v>
      </c>
      <c r="L35" s="3" t="s">
        <v>11</v>
      </c>
      <c r="M35" s="3" t="s">
        <v>11</v>
      </c>
      <c r="N35" s="3" t="s">
        <v>11</v>
      </c>
      <c r="O35" s="3" t="s">
        <v>11</v>
      </c>
      <c r="P35" s="3" t="s">
        <v>11</v>
      </c>
      <c r="Q35" s="3" t="s">
        <v>11</v>
      </c>
      <c r="R35" s="3" t="s">
        <v>11</v>
      </c>
      <c r="S35" s="3" t="s">
        <v>11</v>
      </c>
      <c r="T35" s="3" t="s">
        <v>11</v>
      </c>
      <c r="U35" s="3" t="s">
        <v>11</v>
      </c>
      <c r="V35" s="3" t="s">
        <v>11</v>
      </c>
      <c r="W35" s="3" t="s">
        <v>11</v>
      </c>
      <c r="X35" s="3" t="s">
        <v>11</v>
      </c>
      <c r="Y35" s="3" t="s">
        <v>11</v>
      </c>
      <c r="Z35" s="3" t="s">
        <v>11</v>
      </c>
      <c r="AA35" s="3" t="s">
        <v>11</v>
      </c>
    </row>
    <row r="36" spans="3:27" x14ac:dyDescent="0.3">
      <c r="C36" s="12" t="s">
        <v>30</v>
      </c>
      <c r="D36" s="3">
        <v>4191817</v>
      </c>
      <c r="E36" s="3">
        <v>9775450</v>
      </c>
      <c r="F36" s="3">
        <v>9803541</v>
      </c>
      <c r="G36" s="3">
        <v>12735195</v>
      </c>
      <c r="H36" s="3" t="s">
        <v>11</v>
      </c>
      <c r="I36" s="3" t="s">
        <v>11</v>
      </c>
      <c r="J36" s="3" t="s">
        <v>11</v>
      </c>
      <c r="K36" s="3" t="s">
        <v>11</v>
      </c>
      <c r="L36" s="3" t="s">
        <v>11</v>
      </c>
      <c r="M36" s="3" t="s">
        <v>11</v>
      </c>
      <c r="N36" s="3" t="s">
        <v>11</v>
      </c>
      <c r="O36" s="3" t="s">
        <v>11</v>
      </c>
      <c r="P36" s="3" t="s">
        <v>11</v>
      </c>
      <c r="Q36" s="3" t="s">
        <v>11</v>
      </c>
      <c r="R36" s="3" t="s">
        <v>11</v>
      </c>
      <c r="S36" s="3" t="s">
        <v>11</v>
      </c>
      <c r="T36" s="3" t="s">
        <v>11</v>
      </c>
      <c r="U36" s="3" t="s">
        <v>11</v>
      </c>
      <c r="V36" s="3" t="s">
        <v>11</v>
      </c>
      <c r="W36" s="3" t="s">
        <v>11</v>
      </c>
      <c r="X36" s="3" t="s">
        <v>11</v>
      </c>
      <c r="Y36" s="3" t="s">
        <v>11</v>
      </c>
      <c r="Z36" s="3" t="s">
        <v>11</v>
      </c>
      <c r="AA36" s="3" t="s">
        <v>11</v>
      </c>
    </row>
    <row r="37" spans="3:27" x14ac:dyDescent="0.3">
      <c r="C37" s="12" t="s">
        <v>31</v>
      </c>
      <c r="D37" s="3">
        <v>5916671</v>
      </c>
      <c r="E37" s="3">
        <v>11716355</v>
      </c>
      <c r="F37" s="3">
        <v>11277873</v>
      </c>
      <c r="G37" s="3" t="s">
        <v>11</v>
      </c>
      <c r="H37" s="3" t="s">
        <v>11</v>
      </c>
      <c r="I37" s="3" t="s">
        <v>11</v>
      </c>
      <c r="J37" s="3" t="s">
        <v>11</v>
      </c>
      <c r="K37" s="3" t="s">
        <v>11</v>
      </c>
      <c r="L37" s="3" t="s">
        <v>11</v>
      </c>
      <c r="M37" s="3" t="s">
        <v>11</v>
      </c>
      <c r="N37" s="3" t="s">
        <v>11</v>
      </c>
      <c r="O37" s="3" t="s">
        <v>11</v>
      </c>
      <c r="P37" s="3" t="s">
        <v>11</v>
      </c>
      <c r="Q37" s="3" t="s">
        <v>11</v>
      </c>
      <c r="R37" s="3" t="s">
        <v>11</v>
      </c>
      <c r="S37" s="3" t="s">
        <v>11</v>
      </c>
      <c r="T37" s="3" t="s">
        <v>11</v>
      </c>
      <c r="U37" s="3" t="s">
        <v>11</v>
      </c>
      <c r="V37" s="3" t="s">
        <v>11</v>
      </c>
      <c r="W37" s="3" t="s">
        <v>11</v>
      </c>
      <c r="X37" s="3" t="s">
        <v>11</v>
      </c>
      <c r="Y37" s="3" t="s">
        <v>11</v>
      </c>
      <c r="Z37" s="3" t="s">
        <v>11</v>
      </c>
      <c r="AA37" s="3" t="s">
        <v>11</v>
      </c>
    </row>
    <row r="38" spans="3:27" x14ac:dyDescent="0.3">
      <c r="C38" s="12" t="s">
        <v>32</v>
      </c>
      <c r="D38" s="3">
        <v>4926500</v>
      </c>
      <c r="E38" s="3">
        <v>9321834</v>
      </c>
      <c r="F38" s="3" t="s">
        <v>11</v>
      </c>
      <c r="G38" s="3" t="s">
        <v>11</v>
      </c>
      <c r="H38" s="3" t="s">
        <v>11</v>
      </c>
      <c r="I38" s="3" t="s">
        <v>11</v>
      </c>
      <c r="J38" s="3" t="s">
        <v>11</v>
      </c>
      <c r="K38" s="3" t="s">
        <v>11</v>
      </c>
      <c r="L38" s="3" t="s">
        <v>11</v>
      </c>
      <c r="M38" s="3" t="s">
        <v>11</v>
      </c>
      <c r="N38" s="3" t="s">
        <v>11</v>
      </c>
      <c r="O38" s="3" t="s">
        <v>11</v>
      </c>
      <c r="P38" s="3" t="s">
        <v>11</v>
      </c>
      <c r="Q38" s="3" t="s">
        <v>11</v>
      </c>
      <c r="R38" s="3" t="s">
        <v>11</v>
      </c>
      <c r="S38" s="3" t="s">
        <v>11</v>
      </c>
      <c r="T38" s="3" t="s">
        <v>11</v>
      </c>
      <c r="U38" s="3" t="s">
        <v>11</v>
      </c>
      <c r="V38" s="3" t="s">
        <v>11</v>
      </c>
      <c r="W38" s="3" t="s">
        <v>11</v>
      </c>
      <c r="X38" s="3" t="s">
        <v>11</v>
      </c>
      <c r="Y38" s="3" t="s">
        <v>11</v>
      </c>
      <c r="Z38" s="3" t="s">
        <v>11</v>
      </c>
      <c r="AA38" s="3" t="s">
        <v>11</v>
      </c>
    </row>
    <row r="39" spans="3:27" x14ac:dyDescent="0.3">
      <c r="C39" s="12" t="s">
        <v>33</v>
      </c>
      <c r="D39" s="3">
        <v>5149958</v>
      </c>
      <c r="E39" s="3"/>
      <c r="F39" s="3" t="s">
        <v>11</v>
      </c>
      <c r="G39" s="3" t="s">
        <v>11</v>
      </c>
      <c r="H39" s="3" t="s">
        <v>11</v>
      </c>
      <c r="I39" s="3" t="s">
        <v>11</v>
      </c>
      <c r="J39" s="3" t="s">
        <v>11</v>
      </c>
      <c r="K39" s="3" t="s">
        <v>11</v>
      </c>
      <c r="L39" s="3" t="s">
        <v>11</v>
      </c>
      <c r="M39" s="3" t="s">
        <v>11</v>
      </c>
      <c r="N39" s="3" t="s">
        <v>11</v>
      </c>
      <c r="O39" s="3" t="s">
        <v>11</v>
      </c>
      <c r="P39" s="3" t="s">
        <v>11</v>
      </c>
      <c r="Q39" s="3" t="s">
        <v>11</v>
      </c>
      <c r="R39" s="3" t="s">
        <v>11</v>
      </c>
      <c r="S39" s="3" t="s">
        <v>11</v>
      </c>
      <c r="T39" s="3" t="s">
        <v>11</v>
      </c>
      <c r="U39" s="3" t="s">
        <v>11</v>
      </c>
      <c r="V39" s="3" t="s">
        <v>11</v>
      </c>
      <c r="W39" s="3" t="s">
        <v>11</v>
      </c>
      <c r="X39" s="3" t="s">
        <v>11</v>
      </c>
      <c r="Y39" s="3" t="s">
        <v>11</v>
      </c>
      <c r="Z39" s="3" t="s">
        <v>11</v>
      </c>
      <c r="AA39" s="3" t="s">
        <v>11</v>
      </c>
    </row>
    <row r="40" spans="3:27" x14ac:dyDescent="0.3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3:27" x14ac:dyDescent="0.3"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9" spans="2:11" x14ac:dyDescent="0.3">
      <c r="J49" s="1"/>
    </row>
    <row r="50" spans="2:11" x14ac:dyDescent="0.3">
      <c r="F50" s="4"/>
      <c r="G50" s="4"/>
      <c r="H50" s="4"/>
      <c r="I50" s="5"/>
      <c r="J50" s="5"/>
      <c r="K50" s="5"/>
    </row>
    <row r="51" spans="2:11" x14ac:dyDescent="0.3">
      <c r="D51" s="6" t="s">
        <v>34</v>
      </c>
      <c r="E51" s="6" t="s">
        <v>35</v>
      </c>
      <c r="F51" s="6"/>
      <c r="G51" s="6"/>
      <c r="H51" s="6"/>
      <c r="I51" s="6"/>
      <c r="J51" s="6"/>
      <c r="K51" s="6"/>
    </row>
    <row r="52" spans="2:11" x14ac:dyDescent="0.3">
      <c r="B52">
        <v>24</v>
      </c>
      <c r="C52" s="12" t="s">
        <v>9</v>
      </c>
      <c r="D52" s="1">
        <v>20213006.09090909</v>
      </c>
      <c r="E52" s="1" cm="1">
        <f t="array" ref="E52">INDEX(D16:AA16,$B52)</f>
        <v>5814528</v>
      </c>
      <c r="F52" s="7"/>
      <c r="G52" s="8"/>
      <c r="I52" s="1"/>
      <c r="J52" s="1"/>
      <c r="K52" s="7"/>
    </row>
    <row r="53" spans="2:11" x14ac:dyDescent="0.3">
      <c r="B53">
        <f>+B52-1</f>
        <v>23</v>
      </c>
      <c r="C53" s="12" t="s">
        <v>10</v>
      </c>
      <c r="D53" s="1">
        <v>22641631.727272727</v>
      </c>
      <c r="E53" s="1" cm="1">
        <f t="array" ref="E53">INDEX(D17:AA17,$B53)</f>
        <v>7995874</v>
      </c>
      <c r="F53" s="7"/>
      <c r="G53" s="8"/>
      <c r="I53" s="1"/>
      <c r="J53" s="1"/>
      <c r="K53" s="7"/>
    </row>
    <row r="54" spans="2:11" x14ac:dyDescent="0.3">
      <c r="B54">
        <f t="shared" ref="B54:B75" si="1">+B53-1</f>
        <v>22</v>
      </c>
      <c r="C54" s="12" t="s">
        <v>12</v>
      </c>
      <c r="D54" s="1">
        <v>19561331.18181818</v>
      </c>
      <c r="E54" s="1" cm="1">
        <f t="array" ref="E54">INDEX(D18:AA18,$B54)</f>
        <v>4710870</v>
      </c>
      <c r="F54" s="7"/>
      <c r="G54" s="8"/>
      <c r="I54" s="1"/>
      <c r="J54" s="1"/>
      <c r="K54" s="7"/>
    </row>
    <row r="55" spans="2:11" x14ac:dyDescent="0.3">
      <c r="B55">
        <f t="shared" si="1"/>
        <v>21</v>
      </c>
      <c r="C55" s="12" t="s">
        <v>13</v>
      </c>
      <c r="D55" s="1">
        <v>9083808.0909090899</v>
      </c>
      <c r="E55" s="1" cm="1">
        <f t="array" ref="E55">INDEX(D19:AA19,$B55)</f>
        <v>5046123</v>
      </c>
      <c r="F55" s="7"/>
      <c r="G55" s="8"/>
      <c r="I55" s="1"/>
      <c r="J55" s="1"/>
      <c r="K55" s="7"/>
    </row>
    <row r="56" spans="2:11" x14ac:dyDescent="0.3">
      <c r="B56">
        <f t="shared" si="1"/>
        <v>20</v>
      </c>
      <c r="C56" s="12" t="s">
        <v>14</v>
      </c>
      <c r="D56" s="1">
        <v>18994502.724418178</v>
      </c>
      <c r="E56" s="1" cm="1">
        <f t="array" ref="E56">INDEX(D20:AA20,$B56)</f>
        <v>4612035</v>
      </c>
      <c r="F56" s="7"/>
      <c r="G56" s="8"/>
      <c r="I56" s="1"/>
      <c r="J56" s="1"/>
      <c r="K56" s="7"/>
    </row>
    <row r="57" spans="2:11" x14ac:dyDescent="0.3">
      <c r="B57">
        <f t="shared" si="1"/>
        <v>19</v>
      </c>
      <c r="C57" s="12" t="s">
        <v>15</v>
      </c>
      <c r="D57" s="1">
        <v>-1004591.6245076172</v>
      </c>
      <c r="E57" s="1" cm="1">
        <f t="array" ref="E57">INDEX(D21:AA21,$B57)</f>
        <v>2490228</v>
      </c>
      <c r="F57" s="7"/>
      <c r="G57" s="8"/>
      <c r="I57" s="1"/>
      <c r="J57" s="1"/>
      <c r="K57" s="7"/>
    </row>
    <row r="58" spans="2:11" x14ac:dyDescent="0.3">
      <c r="B58">
        <f t="shared" si="1"/>
        <v>18</v>
      </c>
      <c r="C58" s="12" t="s">
        <v>16</v>
      </c>
      <c r="D58" s="1">
        <v>-5936695.0191201437</v>
      </c>
      <c r="E58" s="1" cm="1">
        <f t="array" ref="E58">INDEX(D22:AA22,$B58)</f>
        <v>2642281</v>
      </c>
      <c r="F58" s="7"/>
      <c r="G58" s="8"/>
      <c r="I58" s="1"/>
      <c r="J58" s="1"/>
      <c r="K58" s="7"/>
    </row>
    <row r="59" spans="2:11" x14ac:dyDescent="0.3">
      <c r="B59">
        <f t="shared" si="1"/>
        <v>17</v>
      </c>
      <c r="C59" s="12" t="s">
        <v>17</v>
      </c>
      <c r="D59" s="1">
        <v>4268257.6721802894</v>
      </c>
      <c r="E59" s="1" cm="1">
        <f t="array" ref="E59">INDEX(D23:AA23,$B59)</f>
        <v>6538885</v>
      </c>
      <c r="F59" s="7"/>
      <c r="G59" s="8"/>
      <c r="I59" s="1"/>
      <c r="J59" s="1"/>
      <c r="K59" s="7"/>
    </row>
    <row r="60" spans="2:11" x14ac:dyDescent="0.3">
      <c r="B60">
        <f t="shared" si="1"/>
        <v>16</v>
      </c>
      <c r="C60" s="12" t="s">
        <v>18</v>
      </c>
      <c r="D60" s="1">
        <v>16145782.499172982</v>
      </c>
      <c r="E60" s="1" cm="1">
        <f t="array" ref="E60">INDEX(D24:AA24,$B60)</f>
        <v>6037298</v>
      </c>
      <c r="F60" s="7"/>
      <c r="G60" s="8"/>
      <c r="I60" s="1"/>
      <c r="J60" s="1"/>
      <c r="K60" s="7"/>
    </row>
    <row r="61" spans="2:11" x14ac:dyDescent="0.3">
      <c r="B61">
        <f t="shared" si="1"/>
        <v>15</v>
      </c>
      <c r="C61" s="12" t="s">
        <v>19</v>
      </c>
      <c r="D61" s="1">
        <v>16851116.636917692</v>
      </c>
      <c r="E61" s="1" cm="1">
        <f t="array" ref="E61">INDEX(D25:AA25,$B61)</f>
        <v>4354413</v>
      </c>
      <c r="F61" s="7"/>
      <c r="G61" s="8"/>
      <c r="I61" s="1"/>
      <c r="J61" s="1"/>
      <c r="K61" s="7"/>
    </row>
    <row r="62" spans="2:11" x14ac:dyDescent="0.3">
      <c r="B62">
        <f t="shared" si="1"/>
        <v>14</v>
      </c>
      <c r="C62" s="12" t="s">
        <v>20</v>
      </c>
      <c r="D62" s="1">
        <v>-4179642.7741903318</v>
      </c>
      <c r="E62" s="1" cm="1">
        <f t="array" ref="E62">INDEX(D26:AA26,$B62)</f>
        <v>4284653</v>
      </c>
      <c r="F62" s="7"/>
      <c r="G62" s="8"/>
      <c r="I62" s="1"/>
      <c r="J62" s="1"/>
      <c r="K62" s="7"/>
    </row>
    <row r="63" spans="2:11" x14ac:dyDescent="0.3">
      <c r="B63">
        <f t="shared" si="1"/>
        <v>13</v>
      </c>
      <c r="C63" s="12" t="s">
        <v>21</v>
      </c>
      <c r="D63" s="1">
        <v>3503668.9779778551</v>
      </c>
      <c r="E63" s="1" cm="1">
        <f t="array" ref="E63">INDEX(D27:AA27,$B63)</f>
        <v>7266841</v>
      </c>
      <c r="F63" s="7"/>
      <c r="G63" s="8"/>
      <c r="I63" s="1"/>
      <c r="J63" s="1"/>
      <c r="K63" s="7"/>
    </row>
    <row r="64" spans="2:11" x14ac:dyDescent="0.3">
      <c r="B64">
        <f t="shared" si="1"/>
        <v>12</v>
      </c>
      <c r="C64" s="12" t="s">
        <v>22</v>
      </c>
      <c r="D64" s="1">
        <v>17466795.417860202</v>
      </c>
      <c r="E64" s="1" cm="1">
        <f t="array" ref="E64">INDEX(D28:AA28,$B64)</f>
        <v>5844768</v>
      </c>
      <c r="F64" s="7"/>
      <c r="G64" s="8"/>
      <c r="I64" s="1"/>
      <c r="J64" s="1"/>
      <c r="K64" s="7"/>
    </row>
    <row r="65" spans="2:11" x14ac:dyDescent="0.3">
      <c r="B65">
        <f t="shared" si="1"/>
        <v>11</v>
      </c>
      <c r="C65" s="12" t="s">
        <v>23</v>
      </c>
      <c r="D65" s="1">
        <v>15433825.712611966</v>
      </c>
      <c r="E65" s="1" cm="1">
        <f t="array" ref="E65">INDEX(D29:AA29,$B65)</f>
        <v>5171805</v>
      </c>
      <c r="F65" s="7"/>
      <c r="G65" s="8"/>
      <c r="I65" s="1"/>
      <c r="J65" s="1"/>
      <c r="K65" s="7"/>
    </row>
    <row r="66" spans="2:11" x14ac:dyDescent="0.3">
      <c r="B66">
        <f t="shared" si="1"/>
        <v>10</v>
      </c>
      <c r="C66" s="12" t="s">
        <v>24</v>
      </c>
      <c r="D66" s="1">
        <v>15413447.856489912</v>
      </c>
      <c r="E66" s="1" cm="1">
        <f t="array" ref="E66">INDEX(D30:AA30,$B66)</f>
        <v>2473125</v>
      </c>
      <c r="F66" s="7"/>
      <c r="G66" s="8"/>
      <c r="I66" s="1"/>
      <c r="J66" s="1"/>
      <c r="K66" s="7"/>
    </row>
    <row r="67" spans="2:11" x14ac:dyDescent="0.3">
      <c r="B67">
        <f t="shared" si="1"/>
        <v>9</v>
      </c>
      <c r="C67" s="12" t="s">
        <v>25</v>
      </c>
      <c r="D67" s="1">
        <v>19246631.966259398</v>
      </c>
      <c r="E67" s="1" cm="1">
        <f t="array" ref="E67">INDEX(D31:AA31,$B67)</f>
        <v>13371613</v>
      </c>
      <c r="F67" s="7"/>
      <c r="G67" s="8"/>
      <c r="I67" s="1"/>
      <c r="J67" s="1"/>
      <c r="K67" s="7"/>
    </row>
    <row r="68" spans="2:11" x14ac:dyDescent="0.3">
      <c r="B68">
        <f t="shared" si="1"/>
        <v>8</v>
      </c>
      <c r="C68" s="12" t="s">
        <v>26</v>
      </c>
      <c r="D68" s="1">
        <v>32511744.962999582</v>
      </c>
      <c r="E68" s="1" cm="1">
        <f t="array" ref="E68">INDEX(D32:AA32,$B68)</f>
        <v>12422697</v>
      </c>
      <c r="F68" s="7"/>
      <c r="G68" s="8"/>
      <c r="I68" s="1"/>
      <c r="J68" s="1"/>
      <c r="K68" s="7"/>
    </row>
    <row r="69" spans="2:11" x14ac:dyDescent="0.3">
      <c r="B69">
        <f t="shared" si="1"/>
        <v>7</v>
      </c>
      <c r="C69" s="12" t="s">
        <v>27</v>
      </c>
      <c r="D69" s="1">
        <v>24625764.100566026</v>
      </c>
      <c r="E69" s="1" cm="1">
        <f t="array" ref="E69">INDEX(D33:AA33,$B69)</f>
        <v>10568629</v>
      </c>
      <c r="F69" s="7"/>
      <c r="G69" s="8"/>
      <c r="I69" s="1"/>
      <c r="J69" s="1"/>
      <c r="K69" s="7"/>
    </row>
    <row r="70" spans="2:11" x14ac:dyDescent="0.3">
      <c r="B70">
        <f t="shared" si="1"/>
        <v>6</v>
      </c>
      <c r="C70" s="12" t="s">
        <v>28</v>
      </c>
      <c r="D70" s="1">
        <v>52753853.564416327</v>
      </c>
      <c r="E70" s="1" cm="1">
        <f t="array" ref="E70">INDEX(D34:AA34,$B70)</f>
        <v>25593031</v>
      </c>
      <c r="F70" s="7"/>
      <c r="G70" s="8"/>
      <c r="I70" s="1"/>
      <c r="J70" s="1"/>
      <c r="K70" s="7"/>
    </row>
    <row r="71" spans="2:11" x14ac:dyDescent="0.3">
      <c r="B71">
        <f t="shared" si="1"/>
        <v>5</v>
      </c>
      <c r="C71" s="12" t="s">
        <v>29</v>
      </c>
      <c r="D71" s="1">
        <v>31407599.395625263</v>
      </c>
      <c r="E71" s="1" cm="1">
        <f t="array" ref="E71">INDEX(D35:AA35,$B71)</f>
        <v>14275150</v>
      </c>
      <c r="F71" s="7"/>
      <c r="G71" s="8"/>
      <c r="I71" s="1"/>
      <c r="J71" s="1"/>
      <c r="K71" s="7"/>
    </row>
    <row r="72" spans="2:11" x14ac:dyDescent="0.3">
      <c r="B72">
        <f t="shared" si="1"/>
        <v>4</v>
      </c>
      <c r="C72" s="12" t="s">
        <v>30</v>
      </c>
      <c r="D72" s="1">
        <v>30304298.832185101</v>
      </c>
      <c r="E72" s="1" cm="1">
        <f t="array" ref="E72">INDEX(D36:AA36,$B72)</f>
        <v>12735195</v>
      </c>
      <c r="F72" s="7"/>
      <c r="G72" s="8"/>
      <c r="I72" s="1"/>
      <c r="J72" s="1"/>
      <c r="K72" s="7"/>
    </row>
    <row r="73" spans="2:11" x14ac:dyDescent="0.3">
      <c r="B73">
        <f t="shared" si="1"/>
        <v>3</v>
      </c>
      <c r="C73" s="12" t="s">
        <v>31</v>
      </c>
      <c r="D73" s="1">
        <v>11368457.883217428</v>
      </c>
      <c r="E73" s="1" cm="1">
        <f t="array" ref="E73">INDEX(D37:AA37,$B73)</f>
        <v>11277873</v>
      </c>
      <c r="F73" s="7"/>
      <c r="G73" s="8"/>
      <c r="I73" s="1"/>
      <c r="J73" s="1"/>
      <c r="K73" s="7"/>
    </row>
    <row r="74" spans="2:11" x14ac:dyDescent="0.3">
      <c r="B74">
        <f t="shared" si="1"/>
        <v>2</v>
      </c>
      <c r="C74" s="12" t="s">
        <v>32</v>
      </c>
      <c r="D74" s="1">
        <v>9631669.6535887755</v>
      </c>
      <c r="E74" s="1" cm="1">
        <f t="array" ref="E74">INDEX(D38:AA38,$B74)</f>
        <v>9321834</v>
      </c>
      <c r="F74" s="7"/>
      <c r="G74" s="8"/>
      <c r="I74" s="1"/>
      <c r="J74" s="1"/>
      <c r="K74" s="7"/>
    </row>
    <row r="75" spans="2:11" x14ac:dyDescent="0.3">
      <c r="B75">
        <f t="shared" si="1"/>
        <v>1</v>
      </c>
      <c r="C75" s="12" t="s">
        <v>33</v>
      </c>
      <c r="D75" s="1">
        <v>32995207.804397486</v>
      </c>
      <c r="E75" s="1" cm="1">
        <f t="array" ref="E75">INDEX(D39:AA39,$B75)</f>
        <v>5149958</v>
      </c>
      <c r="F75" s="7"/>
      <c r="G75" s="8"/>
      <c r="I75" s="1"/>
      <c r="J75" s="1"/>
      <c r="K75" s="7"/>
    </row>
    <row r="81" spans="3:27" ht="25.8" x14ac:dyDescent="0.5">
      <c r="C81" s="2" t="s">
        <v>36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3" spans="3:27" x14ac:dyDescent="0.3">
      <c r="D83" s="14">
        <v>1</v>
      </c>
      <c r="E83" s="14">
        <f>+D83+1</f>
        <v>2</v>
      </c>
      <c r="F83" s="14">
        <f t="shared" ref="F83:AA83" si="2">+E83+1</f>
        <v>3</v>
      </c>
      <c r="G83" s="14">
        <f t="shared" si="2"/>
        <v>4</v>
      </c>
      <c r="H83" s="14">
        <f t="shared" si="2"/>
        <v>5</v>
      </c>
      <c r="I83" s="14">
        <f t="shared" si="2"/>
        <v>6</v>
      </c>
      <c r="J83" s="14">
        <f t="shared" si="2"/>
        <v>7</v>
      </c>
      <c r="K83" s="14">
        <f t="shared" si="2"/>
        <v>8</v>
      </c>
      <c r="L83" s="14">
        <f t="shared" si="2"/>
        <v>9</v>
      </c>
      <c r="M83" s="14">
        <f t="shared" si="2"/>
        <v>10</v>
      </c>
      <c r="N83" s="14">
        <f t="shared" si="2"/>
        <v>11</v>
      </c>
      <c r="O83" s="14">
        <f t="shared" si="2"/>
        <v>12</v>
      </c>
      <c r="P83" s="14">
        <f t="shared" si="2"/>
        <v>13</v>
      </c>
      <c r="Q83" s="14">
        <f t="shared" si="2"/>
        <v>14</v>
      </c>
      <c r="R83" s="14">
        <f t="shared" si="2"/>
        <v>15</v>
      </c>
      <c r="S83" s="14">
        <f t="shared" si="2"/>
        <v>16</v>
      </c>
      <c r="T83" s="14">
        <f t="shared" si="2"/>
        <v>17</v>
      </c>
      <c r="U83" s="14">
        <f t="shared" si="2"/>
        <v>18</v>
      </c>
      <c r="V83" s="14">
        <f t="shared" si="2"/>
        <v>19</v>
      </c>
      <c r="W83" s="14">
        <f t="shared" si="2"/>
        <v>20</v>
      </c>
      <c r="X83" s="14">
        <f t="shared" si="2"/>
        <v>21</v>
      </c>
      <c r="Y83" s="14">
        <f t="shared" si="2"/>
        <v>22</v>
      </c>
      <c r="Z83" s="14">
        <f t="shared" si="2"/>
        <v>23</v>
      </c>
      <c r="AA83" s="14">
        <f t="shared" si="2"/>
        <v>24</v>
      </c>
    </row>
    <row r="84" spans="3:27" x14ac:dyDescent="0.3">
      <c r="C84" s="12" t="s">
        <v>9</v>
      </c>
      <c r="D84" s="1">
        <v>6418198</v>
      </c>
      <c r="E84" s="1">
        <v>8351947</v>
      </c>
      <c r="F84" s="1">
        <v>7241932</v>
      </c>
      <c r="G84" s="1">
        <v>6612057</v>
      </c>
      <c r="H84" s="1">
        <v>6678429</v>
      </c>
      <c r="I84" s="1">
        <v>6520501</v>
      </c>
      <c r="J84" s="1">
        <v>6390444</v>
      </c>
      <c r="K84" s="1">
        <v>6157365</v>
      </c>
      <c r="L84" s="1">
        <v>5998497</v>
      </c>
      <c r="M84" s="1">
        <v>5960040</v>
      </c>
      <c r="N84" s="1">
        <v>5927219</v>
      </c>
      <c r="O84" s="1">
        <v>5845151</v>
      </c>
      <c r="P84" s="1">
        <v>5844679</v>
      </c>
      <c r="Q84" s="1">
        <v>5823554</v>
      </c>
      <c r="R84" s="1">
        <v>5819414</v>
      </c>
      <c r="S84" s="1">
        <v>5817651</v>
      </c>
      <c r="T84" s="1">
        <v>5816446</v>
      </c>
      <c r="U84" s="1">
        <v>5815298</v>
      </c>
      <c r="V84" s="1">
        <v>5814997</v>
      </c>
      <c r="W84" s="1">
        <v>5814607</v>
      </c>
      <c r="X84" s="1">
        <v>5814513</v>
      </c>
      <c r="Y84" s="1">
        <v>5814520</v>
      </c>
      <c r="Z84" s="1">
        <v>5814527</v>
      </c>
      <c r="AA84" s="1">
        <v>5814528</v>
      </c>
    </row>
    <row r="85" spans="3:27" x14ac:dyDescent="0.3">
      <c r="C85" s="12" t="s">
        <v>10</v>
      </c>
      <c r="D85" s="1">
        <v>7475822</v>
      </c>
      <c r="E85" s="1">
        <v>10450029</v>
      </c>
      <c r="F85" s="1">
        <v>10185917</v>
      </c>
      <c r="G85" s="1">
        <v>9722137</v>
      </c>
      <c r="H85" s="1">
        <v>9434292</v>
      </c>
      <c r="I85" s="1">
        <v>9020873</v>
      </c>
      <c r="J85" s="1">
        <v>8704176</v>
      </c>
      <c r="K85" s="1">
        <v>8469008</v>
      </c>
      <c r="L85" s="1">
        <v>8349635</v>
      </c>
      <c r="M85" s="1">
        <v>8209160</v>
      </c>
      <c r="N85" s="1">
        <v>8096242</v>
      </c>
      <c r="O85" s="1">
        <v>8041381</v>
      </c>
      <c r="P85" s="1">
        <v>8008712</v>
      </c>
      <c r="Q85" s="1">
        <v>8003007</v>
      </c>
      <c r="R85" s="1">
        <v>8002023</v>
      </c>
      <c r="S85" s="1">
        <v>7997629</v>
      </c>
      <c r="T85" s="1">
        <v>7997019</v>
      </c>
      <c r="U85" s="1">
        <v>7996437</v>
      </c>
      <c r="V85" s="1">
        <v>7996215</v>
      </c>
      <c r="W85" s="1">
        <v>7995857</v>
      </c>
      <c r="X85" s="1">
        <v>7995850</v>
      </c>
      <c r="Y85" s="1">
        <v>7995866</v>
      </c>
      <c r="Z85" s="1">
        <v>7995874</v>
      </c>
      <c r="AA85" s="9">
        <v>7995875.3751546778</v>
      </c>
    </row>
    <row r="86" spans="3:27" x14ac:dyDescent="0.3">
      <c r="C86" s="12" t="s">
        <v>12</v>
      </c>
      <c r="D86" s="1">
        <v>4944676</v>
      </c>
      <c r="E86" s="1">
        <v>5651989</v>
      </c>
      <c r="F86" s="1">
        <v>5515292</v>
      </c>
      <c r="G86" s="1">
        <v>5713405</v>
      </c>
      <c r="H86" s="1">
        <v>5462475</v>
      </c>
      <c r="I86" s="1">
        <v>5370959</v>
      </c>
      <c r="J86" s="1">
        <v>5305411</v>
      </c>
      <c r="K86" s="1">
        <v>5148861</v>
      </c>
      <c r="L86" s="1">
        <v>4913135</v>
      </c>
      <c r="M86" s="1">
        <v>4939885</v>
      </c>
      <c r="N86" s="1">
        <v>4852857</v>
      </c>
      <c r="O86" s="1">
        <v>4772843</v>
      </c>
      <c r="P86" s="1">
        <v>4722978</v>
      </c>
      <c r="Q86" s="1">
        <v>4724493</v>
      </c>
      <c r="R86" s="1">
        <v>4714404</v>
      </c>
      <c r="S86" s="1">
        <v>4711994</v>
      </c>
      <c r="T86" s="1">
        <v>4711744</v>
      </c>
      <c r="U86" s="1">
        <v>4711585</v>
      </c>
      <c r="V86" s="1">
        <v>4710817</v>
      </c>
      <c r="W86" s="1">
        <v>4710876</v>
      </c>
      <c r="X86" s="1">
        <v>4710870</v>
      </c>
      <c r="Y86" s="1">
        <v>4710870</v>
      </c>
      <c r="Z86" s="9">
        <v>4710874.7133056009</v>
      </c>
      <c r="AA86" s="9">
        <v>4710875.5234961314</v>
      </c>
    </row>
    <row r="87" spans="3:27" x14ac:dyDescent="0.3">
      <c r="C87" s="12" t="s">
        <v>13</v>
      </c>
      <c r="D87" s="1">
        <v>5990844</v>
      </c>
      <c r="E87" s="1">
        <v>8317434</v>
      </c>
      <c r="F87" s="1">
        <v>7538034</v>
      </c>
      <c r="G87" s="1">
        <v>7146705</v>
      </c>
      <c r="H87" s="1">
        <v>6480112</v>
      </c>
      <c r="I87" s="1">
        <v>5918174</v>
      </c>
      <c r="J87" s="1">
        <v>5524711</v>
      </c>
      <c r="K87" s="1">
        <v>5379113</v>
      </c>
      <c r="L87" s="1">
        <v>5282322</v>
      </c>
      <c r="M87" s="1">
        <v>5218946</v>
      </c>
      <c r="N87" s="1">
        <v>5148288</v>
      </c>
      <c r="O87" s="1">
        <v>5055569</v>
      </c>
      <c r="P87" s="1">
        <v>5052150</v>
      </c>
      <c r="Q87" s="1">
        <v>5048881</v>
      </c>
      <c r="R87" s="1">
        <v>5049883</v>
      </c>
      <c r="S87" s="1">
        <v>5047150</v>
      </c>
      <c r="T87" s="1">
        <v>5047033</v>
      </c>
      <c r="U87" s="1">
        <v>5046810</v>
      </c>
      <c r="V87" s="1">
        <v>5046112</v>
      </c>
      <c r="W87" s="1">
        <v>5046155</v>
      </c>
      <c r="X87" s="1">
        <v>5046123</v>
      </c>
      <c r="Y87" s="9">
        <v>5046129.0749474633</v>
      </c>
      <c r="Z87" s="9">
        <v>5046134.1236854736</v>
      </c>
      <c r="AA87" s="9">
        <v>5046134.9915349344</v>
      </c>
    </row>
    <row r="88" spans="3:27" x14ac:dyDescent="0.3">
      <c r="C88" s="12" t="s">
        <v>14</v>
      </c>
      <c r="D88" s="1">
        <v>6106533</v>
      </c>
      <c r="E88" s="1">
        <v>7227067</v>
      </c>
      <c r="F88" s="1">
        <v>6609141</v>
      </c>
      <c r="G88" s="1">
        <v>6587986</v>
      </c>
      <c r="H88" s="1">
        <v>5966963</v>
      </c>
      <c r="I88" s="1">
        <v>5553219</v>
      </c>
      <c r="J88" s="1">
        <v>5440658</v>
      </c>
      <c r="K88" s="1">
        <v>5247292</v>
      </c>
      <c r="L88" s="1">
        <v>4989511</v>
      </c>
      <c r="M88" s="1">
        <v>4739938</v>
      </c>
      <c r="N88" s="1">
        <v>4632683</v>
      </c>
      <c r="O88" s="1">
        <v>4647858</v>
      </c>
      <c r="P88" s="1">
        <v>4648748</v>
      </c>
      <c r="Q88" s="1">
        <v>4631093</v>
      </c>
      <c r="R88" s="1">
        <v>4618736</v>
      </c>
      <c r="S88" s="1">
        <v>4614941</v>
      </c>
      <c r="T88" s="1">
        <v>4614019</v>
      </c>
      <c r="U88" s="1">
        <v>4612810</v>
      </c>
      <c r="V88" s="1">
        <v>4612218</v>
      </c>
      <c r="W88" s="1">
        <v>4612035</v>
      </c>
      <c r="X88" s="9">
        <v>4611960.4409988504</v>
      </c>
      <c r="Y88" s="9">
        <v>4611969.6697071241</v>
      </c>
      <c r="Z88" s="9">
        <v>4611975.2219775934</v>
      </c>
      <c r="AA88" s="9">
        <v>4611976.0151590891</v>
      </c>
    </row>
    <row r="89" spans="3:27" x14ac:dyDescent="0.3">
      <c r="C89" s="12" t="s">
        <v>15</v>
      </c>
      <c r="D89" s="1">
        <v>3511339</v>
      </c>
      <c r="E89" s="1">
        <v>5097855</v>
      </c>
      <c r="F89" s="1">
        <v>4392249</v>
      </c>
      <c r="G89" s="1">
        <v>4331724</v>
      </c>
      <c r="H89" s="1">
        <v>3638678</v>
      </c>
      <c r="I89" s="1">
        <v>3261200</v>
      </c>
      <c r="J89" s="1">
        <v>2912378</v>
      </c>
      <c r="K89" s="3">
        <v>2561746</v>
      </c>
      <c r="L89" s="1">
        <v>2608839</v>
      </c>
      <c r="M89" s="1">
        <v>2512337</v>
      </c>
      <c r="N89" s="1">
        <v>2525572</v>
      </c>
      <c r="O89" s="1">
        <v>2539117</v>
      </c>
      <c r="P89" s="1">
        <v>2502024</v>
      </c>
      <c r="Q89" s="1">
        <v>2495301</v>
      </c>
      <c r="R89" s="1">
        <v>2491023</v>
      </c>
      <c r="S89" s="1">
        <v>2490185</v>
      </c>
      <c r="T89" s="1">
        <v>2490716</v>
      </c>
      <c r="U89" s="1">
        <v>2490652</v>
      </c>
      <c r="V89" s="1">
        <v>2490228</v>
      </c>
      <c r="W89" s="9">
        <v>2490129.1946694627</v>
      </c>
      <c r="X89" s="9">
        <v>2490126.0231202291</v>
      </c>
      <c r="Y89" s="9">
        <v>2490129.0209434624</v>
      </c>
      <c r="Z89" s="9">
        <v>2490132.0187666961</v>
      </c>
      <c r="AA89" s="9">
        <v>2490132.447027158</v>
      </c>
    </row>
    <row r="90" spans="3:27" x14ac:dyDescent="0.3">
      <c r="C90" s="12" t="s">
        <v>16</v>
      </c>
      <c r="D90" s="1">
        <v>4141271</v>
      </c>
      <c r="E90" s="1">
        <v>5675304</v>
      </c>
      <c r="F90" s="1">
        <v>5003527</v>
      </c>
      <c r="G90" s="1">
        <v>4490079</v>
      </c>
      <c r="H90" s="1">
        <v>3864708</v>
      </c>
      <c r="I90" s="1">
        <v>3317046</v>
      </c>
      <c r="J90" s="1">
        <v>3043775</v>
      </c>
      <c r="K90" s="1">
        <v>2982731</v>
      </c>
      <c r="L90" s="1">
        <v>2853880</v>
      </c>
      <c r="M90" s="1">
        <v>2708486</v>
      </c>
      <c r="N90" s="1">
        <v>2687185</v>
      </c>
      <c r="O90" s="1">
        <v>2706223</v>
      </c>
      <c r="P90" s="1">
        <v>2663612</v>
      </c>
      <c r="Q90" s="1">
        <v>2649484</v>
      </c>
      <c r="R90" s="1">
        <v>2644988</v>
      </c>
      <c r="S90" s="1">
        <v>2644539</v>
      </c>
      <c r="T90" s="1">
        <v>2642763</v>
      </c>
      <c r="U90" s="1">
        <v>2642281</v>
      </c>
      <c r="V90" s="9">
        <v>2642144.2354556895</v>
      </c>
      <c r="W90" s="9">
        <v>2642025.9435342876</v>
      </c>
      <c r="X90" s="9">
        <v>2642009.1892272569</v>
      </c>
      <c r="Y90" s="9">
        <v>2642009.1892272569</v>
      </c>
      <c r="Z90" s="9">
        <v>2642012.3698963965</v>
      </c>
      <c r="AA90" s="9">
        <v>2642012.8242777023</v>
      </c>
    </row>
    <row r="91" spans="3:27" x14ac:dyDescent="0.3">
      <c r="C91" s="12" t="s">
        <v>17</v>
      </c>
      <c r="D91" s="1">
        <v>6591656</v>
      </c>
      <c r="E91" s="1">
        <v>9149839</v>
      </c>
      <c r="F91" s="1">
        <v>9246786</v>
      </c>
      <c r="G91" s="1">
        <v>8427024</v>
      </c>
      <c r="H91" s="1">
        <v>7881930</v>
      </c>
      <c r="I91" s="1">
        <v>7889306</v>
      </c>
      <c r="J91" s="1">
        <v>7459046</v>
      </c>
      <c r="K91" s="1">
        <v>7134362</v>
      </c>
      <c r="L91" s="1">
        <v>7020325</v>
      </c>
      <c r="M91" s="1">
        <v>6829753</v>
      </c>
      <c r="N91" s="1">
        <v>6654101</v>
      </c>
      <c r="O91" s="1">
        <v>6564713</v>
      </c>
      <c r="P91" s="1">
        <v>6557312</v>
      </c>
      <c r="Q91" s="1">
        <v>6540955</v>
      </c>
      <c r="R91" s="1">
        <v>6539478</v>
      </c>
      <c r="S91" s="1">
        <v>6538852</v>
      </c>
      <c r="T91" s="1">
        <v>6538885</v>
      </c>
      <c r="U91" s="9">
        <v>6538596.0834514061</v>
      </c>
      <c r="V91" s="9">
        <v>6537756.9314201269</v>
      </c>
      <c r="W91" s="9">
        <v>6537497.5313834306</v>
      </c>
      <c r="X91" s="9">
        <v>6537391.8450029148</v>
      </c>
      <c r="Y91" s="9">
        <v>6537399.7152652936</v>
      </c>
      <c r="Z91" s="9">
        <v>6537406.2560449569</v>
      </c>
      <c r="AA91" s="9">
        <v>6537407.3803679254</v>
      </c>
    </row>
    <row r="92" spans="3:27" x14ac:dyDescent="0.3">
      <c r="C92" s="12" t="s">
        <v>18</v>
      </c>
      <c r="D92" s="1">
        <v>6289704</v>
      </c>
      <c r="E92" s="1">
        <v>9074583</v>
      </c>
      <c r="F92" s="1">
        <v>7921104</v>
      </c>
      <c r="G92" s="1">
        <v>7241833</v>
      </c>
      <c r="H92" s="1">
        <v>6605506</v>
      </c>
      <c r="I92" s="1">
        <v>6368774</v>
      </c>
      <c r="J92" s="1">
        <v>5993512</v>
      </c>
      <c r="K92" s="1">
        <v>6063255</v>
      </c>
      <c r="L92" s="1">
        <v>6123811</v>
      </c>
      <c r="M92" s="1">
        <v>6142139</v>
      </c>
      <c r="N92" s="1">
        <v>6109898</v>
      </c>
      <c r="O92" s="1">
        <v>6094584</v>
      </c>
      <c r="P92" s="1">
        <v>6054429</v>
      </c>
      <c r="Q92" s="1">
        <v>6045198</v>
      </c>
      <c r="R92" s="1">
        <v>6039123</v>
      </c>
      <c r="S92" s="1">
        <v>6037298</v>
      </c>
      <c r="T92" s="9">
        <v>6038585.3763346896</v>
      </c>
      <c r="U92" s="9">
        <v>6038381.6014532791</v>
      </c>
      <c r="V92" s="9">
        <v>6038069.0546393348</v>
      </c>
      <c r="W92" s="9">
        <v>6037664.0936511671</v>
      </c>
      <c r="X92" s="9">
        <v>6037566.4876694037</v>
      </c>
      <c r="Y92" s="9">
        <v>6037566.4876694037</v>
      </c>
      <c r="Z92" s="9">
        <v>6037573.7561912108</v>
      </c>
      <c r="AA92" s="1" t="s">
        <v>11</v>
      </c>
    </row>
    <row r="93" spans="3:27" x14ac:dyDescent="0.3">
      <c r="C93" s="12" t="s">
        <v>19</v>
      </c>
      <c r="D93" s="1">
        <v>4959185</v>
      </c>
      <c r="E93" s="1">
        <v>7332815</v>
      </c>
      <c r="F93" s="1">
        <v>6338245</v>
      </c>
      <c r="G93" s="1">
        <v>6335214</v>
      </c>
      <c r="H93" s="1">
        <v>5820802</v>
      </c>
      <c r="I93" s="1">
        <v>5372283</v>
      </c>
      <c r="J93" s="1">
        <v>5126418</v>
      </c>
      <c r="K93" s="1">
        <v>4909923</v>
      </c>
      <c r="L93" s="1">
        <v>4699737</v>
      </c>
      <c r="M93" s="1">
        <v>4565993</v>
      </c>
      <c r="N93" s="1">
        <v>4388069</v>
      </c>
      <c r="O93" s="1">
        <v>4350454</v>
      </c>
      <c r="P93" s="1">
        <v>4349470</v>
      </c>
      <c r="Q93" s="1">
        <v>4354085</v>
      </c>
      <c r="R93" s="1">
        <v>4354413</v>
      </c>
      <c r="S93" s="9">
        <v>4352948.1407457897</v>
      </c>
      <c r="T93" s="9">
        <v>4352078.4832169572</v>
      </c>
      <c r="U93" s="9">
        <v>4351886.1893481119</v>
      </c>
      <c r="V93" s="9">
        <v>4351284.300915584</v>
      </c>
      <c r="W93" s="9">
        <v>4351338.7979961867</v>
      </c>
      <c r="X93" s="9">
        <v>4351311.2041467037</v>
      </c>
      <c r="Y93" s="9">
        <v>4351311.2041467037</v>
      </c>
      <c r="Z93" s="1" t="s">
        <v>11</v>
      </c>
      <c r="AA93" s="1" t="s">
        <v>11</v>
      </c>
    </row>
    <row r="94" spans="3:27" x14ac:dyDescent="0.3">
      <c r="C94" s="12" t="s">
        <v>20</v>
      </c>
      <c r="D94" s="1">
        <v>6194048</v>
      </c>
      <c r="E94" s="1">
        <v>7741218</v>
      </c>
      <c r="F94" s="1">
        <v>6754577</v>
      </c>
      <c r="G94" s="1">
        <v>6157468</v>
      </c>
      <c r="H94" s="1">
        <v>5562103</v>
      </c>
      <c r="I94" s="1">
        <v>5078341</v>
      </c>
      <c r="J94" s="1">
        <v>5094245</v>
      </c>
      <c r="K94" s="1">
        <v>4970573</v>
      </c>
      <c r="L94" s="1">
        <v>4756133</v>
      </c>
      <c r="M94" s="1">
        <v>4568920</v>
      </c>
      <c r="N94" s="1">
        <v>4414181</v>
      </c>
      <c r="O94" s="1">
        <v>4318353</v>
      </c>
      <c r="P94" s="1">
        <v>4308927</v>
      </c>
      <c r="Q94" s="1">
        <v>4284653</v>
      </c>
      <c r="R94" s="9">
        <v>4284126.1856973264</v>
      </c>
      <c r="S94" s="9">
        <v>4283398.933756154</v>
      </c>
      <c r="T94" s="9">
        <v>4282543.1711761076</v>
      </c>
      <c r="U94" s="9">
        <v>4282398.6547583621</v>
      </c>
      <c r="V94" s="9">
        <v>4281806.3768122895</v>
      </c>
      <c r="W94" s="9">
        <v>4281860.0037258863</v>
      </c>
      <c r="X94" s="9">
        <v>4281832.8504735343</v>
      </c>
      <c r="Y94" s="1" t="s">
        <v>11</v>
      </c>
      <c r="Z94" s="1" t="s">
        <v>11</v>
      </c>
      <c r="AA94" s="1" t="s">
        <v>11</v>
      </c>
    </row>
    <row r="95" spans="3:27" x14ac:dyDescent="0.3">
      <c r="C95" s="12" t="s">
        <v>21</v>
      </c>
      <c r="D95" s="1">
        <v>6500694</v>
      </c>
      <c r="E95" s="1">
        <v>9436157</v>
      </c>
      <c r="F95" s="1">
        <v>8641541</v>
      </c>
      <c r="G95" s="1">
        <v>8462835</v>
      </c>
      <c r="H95" s="1">
        <v>8478196</v>
      </c>
      <c r="I95" s="1">
        <v>8406511</v>
      </c>
      <c r="J95" s="1">
        <v>7938776</v>
      </c>
      <c r="K95" s="1">
        <v>7694015</v>
      </c>
      <c r="L95" s="1">
        <v>7414340</v>
      </c>
      <c r="M95" s="1">
        <v>7365359</v>
      </c>
      <c r="N95" s="1">
        <v>7323515</v>
      </c>
      <c r="O95" s="1">
        <v>7284864</v>
      </c>
      <c r="P95" s="1">
        <v>7266841</v>
      </c>
      <c r="Q95" s="9">
        <v>7262138.9814081136</v>
      </c>
      <c r="R95" s="9">
        <v>7246630.9215626605</v>
      </c>
      <c r="S95" s="9">
        <v>7244435.5441046013</v>
      </c>
      <c r="T95" s="9">
        <v>7242935.0166871529</v>
      </c>
      <c r="U95" s="9">
        <v>7241505.4685749281</v>
      </c>
      <c r="V95" s="9">
        <v>7240272.6996779991</v>
      </c>
      <c r="W95" s="9">
        <v>7239985.4257668266</v>
      </c>
      <c r="X95" s="1" t="s">
        <v>11</v>
      </c>
      <c r="Y95" s="1" t="s">
        <v>11</v>
      </c>
      <c r="Z95" s="1" t="s">
        <v>11</v>
      </c>
      <c r="AA95" s="1" t="s">
        <v>11</v>
      </c>
    </row>
    <row r="96" spans="3:27" x14ac:dyDescent="0.3">
      <c r="C96" s="12" t="s">
        <v>22</v>
      </c>
      <c r="D96" s="1">
        <v>5205434</v>
      </c>
      <c r="E96" s="1">
        <v>7752400</v>
      </c>
      <c r="F96" s="1">
        <v>7497356</v>
      </c>
      <c r="G96" s="1">
        <v>7293599</v>
      </c>
      <c r="H96" s="1">
        <v>6566528</v>
      </c>
      <c r="I96" s="1">
        <v>6681703</v>
      </c>
      <c r="J96" s="1">
        <v>6326840</v>
      </c>
      <c r="K96" s="1">
        <v>6334277</v>
      </c>
      <c r="L96" s="1">
        <v>6175261</v>
      </c>
      <c r="M96" s="1">
        <v>6025240</v>
      </c>
      <c r="N96" s="1">
        <v>5846424</v>
      </c>
      <c r="O96" s="1">
        <v>5844768</v>
      </c>
      <c r="P96" s="9">
        <v>5844296.0309275156</v>
      </c>
      <c r="Q96" s="9">
        <v>5828592.2638110025</v>
      </c>
      <c r="R96" s="9">
        <v>5822734.9373838697</v>
      </c>
      <c r="S96" s="9">
        <v>5820776.1229218887</v>
      </c>
      <c r="T96" s="9">
        <v>5822017.3287444562</v>
      </c>
      <c r="U96" s="9">
        <v>5820868.2291235877</v>
      </c>
      <c r="V96" s="9">
        <v>5820063.172855583</v>
      </c>
      <c r="W96" s="1" t="s">
        <v>11</v>
      </c>
      <c r="X96" s="1" t="s">
        <v>11</v>
      </c>
      <c r="Y96" s="1" t="s">
        <v>11</v>
      </c>
      <c r="Z96" s="1" t="s">
        <v>11</v>
      </c>
      <c r="AA96" s="1" t="s">
        <v>11</v>
      </c>
    </row>
    <row r="97" spans="3:27" x14ac:dyDescent="0.3">
      <c r="C97" s="12" t="s">
        <v>23</v>
      </c>
      <c r="D97" s="1">
        <v>5184519</v>
      </c>
      <c r="E97" s="1">
        <v>7275135</v>
      </c>
      <c r="F97" s="1">
        <v>7269751</v>
      </c>
      <c r="G97" s="1">
        <v>6967745</v>
      </c>
      <c r="H97" s="1">
        <v>6399402</v>
      </c>
      <c r="I97" s="1">
        <v>5827678</v>
      </c>
      <c r="J97" s="1">
        <v>5837462</v>
      </c>
      <c r="K97" s="1">
        <v>5752901</v>
      </c>
      <c r="L97" s="1">
        <v>5510232</v>
      </c>
      <c r="M97" s="1">
        <v>5306283</v>
      </c>
      <c r="N97" s="1">
        <v>5171805</v>
      </c>
      <c r="O97" s="9">
        <v>5144509.9872834291</v>
      </c>
      <c r="P97" s="9">
        <v>5090761.9401517948</v>
      </c>
      <c r="Q97" s="9">
        <v>5092394.9150120057</v>
      </c>
      <c r="R97" s="9">
        <v>5083664.3989554578</v>
      </c>
      <c r="S97" s="9">
        <v>5082128.1349104811</v>
      </c>
      <c r="T97" s="9">
        <v>5082010.3240683656</v>
      </c>
      <c r="U97" s="9">
        <v>5081785.7786171529</v>
      </c>
      <c r="V97" s="1" t="s">
        <v>11</v>
      </c>
      <c r="W97" s="1" t="s">
        <v>11</v>
      </c>
      <c r="X97" s="1" t="s">
        <v>11</v>
      </c>
      <c r="Y97" s="1" t="s">
        <v>11</v>
      </c>
      <c r="Z97" s="1" t="s">
        <v>11</v>
      </c>
      <c r="AA97" s="1" t="s">
        <v>11</v>
      </c>
    </row>
    <row r="98" spans="3:27" x14ac:dyDescent="0.3">
      <c r="C98" s="12" t="s">
        <v>24</v>
      </c>
      <c r="D98" s="1">
        <v>3419011</v>
      </c>
      <c r="E98" s="1">
        <v>4773306</v>
      </c>
      <c r="F98" s="1">
        <v>3716822</v>
      </c>
      <c r="G98" s="1">
        <v>3313659</v>
      </c>
      <c r="H98" s="1">
        <v>3377536</v>
      </c>
      <c r="I98" s="1">
        <v>3222093</v>
      </c>
      <c r="J98" s="1">
        <v>2783981</v>
      </c>
      <c r="K98" s="1">
        <v>2603716</v>
      </c>
      <c r="L98" s="1">
        <v>2643618</v>
      </c>
      <c r="M98" s="1">
        <v>2473125</v>
      </c>
      <c r="N98" s="9">
        <v>2486153.4310484622</v>
      </c>
      <c r="O98" s="9">
        <v>2479922.0743804662</v>
      </c>
      <c r="P98" s="9">
        <v>2440874.3094655182</v>
      </c>
      <c r="Q98" s="9">
        <v>2434785.6284511136</v>
      </c>
      <c r="R98" s="9">
        <v>2432338.8396622534</v>
      </c>
      <c r="S98" s="9">
        <v>2431601.9590460393</v>
      </c>
      <c r="T98" s="9">
        <v>2432120.4669642271</v>
      </c>
      <c r="U98" s="1" t="s">
        <v>11</v>
      </c>
      <c r="V98" s="1" t="s">
        <v>11</v>
      </c>
      <c r="W98" s="1" t="s">
        <v>11</v>
      </c>
      <c r="X98" s="1" t="s">
        <v>11</v>
      </c>
      <c r="Y98" s="1" t="s">
        <v>11</v>
      </c>
      <c r="Z98" s="1" t="s">
        <v>11</v>
      </c>
      <c r="AA98" s="1" t="s">
        <v>11</v>
      </c>
    </row>
    <row r="99" spans="3:27" x14ac:dyDescent="0.3">
      <c r="C99" s="12" t="s">
        <v>25</v>
      </c>
      <c r="D99" s="1">
        <v>5498188</v>
      </c>
      <c r="E99" s="1">
        <v>10669557</v>
      </c>
      <c r="F99" s="1">
        <v>10857709</v>
      </c>
      <c r="G99" s="1">
        <v>14275258</v>
      </c>
      <c r="H99" s="1">
        <v>14084665</v>
      </c>
      <c r="I99" s="1">
        <v>14163048</v>
      </c>
      <c r="J99" s="1">
        <v>13850553</v>
      </c>
      <c r="K99" s="1">
        <v>13534768</v>
      </c>
      <c r="L99" s="1">
        <v>13371613</v>
      </c>
      <c r="M99" s="9">
        <v>12509246.948925676</v>
      </c>
      <c r="N99" s="9">
        <v>12021796.518287554</v>
      </c>
      <c r="O99" s="9">
        <v>11940335.541850613</v>
      </c>
      <c r="P99" s="9">
        <v>11752328.257242585</v>
      </c>
      <c r="Q99" s="9">
        <v>11723012.459351053</v>
      </c>
      <c r="R99" s="9">
        <v>11702914.263862371</v>
      </c>
      <c r="S99" s="9">
        <v>11698977.310187871</v>
      </c>
      <c r="T99" s="1" t="s">
        <v>11</v>
      </c>
      <c r="U99" s="1" t="s">
        <v>11</v>
      </c>
      <c r="V99" s="1" t="s">
        <v>11</v>
      </c>
      <c r="W99" s="1" t="s">
        <v>11</v>
      </c>
      <c r="X99" s="1" t="s">
        <v>11</v>
      </c>
      <c r="Y99" s="1" t="s">
        <v>11</v>
      </c>
      <c r="Z99" s="1" t="s">
        <v>11</v>
      </c>
      <c r="AA99" s="1" t="s">
        <v>11</v>
      </c>
    </row>
    <row r="100" spans="3:27" x14ac:dyDescent="0.3">
      <c r="C100" s="12" t="s">
        <v>26</v>
      </c>
      <c r="D100" s="1">
        <v>6382667</v>
      </c>
      <c r="E100" s="1">
        <v>10460689</v>
      </c>
      <c r="F100" s="1">
        <v>9727516</v>
      </c>
      <c r="G100" s="1">
        <v>13561133</v>
      </c>
      <c r="H100" s="1">
        <v>12865538</v>
      </c>
      <c r="I100" s="1">
        <v>12816850</v>
      </c>
      <c r="J100" s="1">
        <v>12593535</v>
      </c>
      <c r="K100" s="1">
        <v>12422697</v>
      </c>
      <c r="L100" s="9">
        <v>12224130.246898742</v>
      </c>
      <c r="M100" s="9">
        <v>11742958.653103394</v>
      </c>
      <c r="N100" s="9">
        <v>11581432.820351794</v>
      </c>
      <c r="O100" s="9">
        <v>11619369.420600256</v>
      </c>
      <c r="P100" s="9">
        <v>11542813.61644952</v>
      </c>
      <c r="Q100" s="9">
        <v>11501093.286274416</v>
      </c>
      <c r="R100" s="9">
        <v>11503375.79114487</v>
      </c>
      <c r="S100" s="1" t="s">
        <v>11</v>
      </c>
      <c r="T100" s="1" t="s">
        <v>11</v>
      </c>
      <c r="U100" s="1" t="s">
        <v>11</v>
      </c>
      <c r="V100" s="1" t="s">
        <v>11</v>
      </c>
      <c r="W100" s="1" t="s">
        <v>11</v>
      </c>
      <c r="X100" s="1" t="s">
        <v>11</v>
      </c>
      <c r="Y100" s="1" t="s">
        <v>11</v>
      </c>
      <c r="Z100" s="1" t="s">
        <v>11</v>
      </c>
      <c r="AA100" s="1" t="s">
        <v>11</v>
      </c>
    </row>
    <row r="101" spans="3:27" x14ac:dyDescent="0.3">
      <c r="C101" s="12" t="s">
        <v>27</v>
      </c>
      <c r="D101" s="1">
        <v>3022770</v>
      </c>
      <c r="E101" s="1">
        <v>7899209</v>
      </c>
      <c r="F101" s="1">
        <v>7498380</v>
      </c>
      <c r="G101" s="1">
        <v>10736732</v>
      </c>
      <c r="H101" s="1">
        <v>10856995</v>
      </c>
      <c r="I101" s="1">
        <v>10834399</v>
      </c>
      <c r="J101" s="1">
        <v>10568629</v>
      </c>
      <c r="K101" s="9">
        <v>10581052.088599207</v>
      </c>
      <c r="L101" s="9">
        <v>10096628.623946123</v>
      </c>
      <c r="M101" s="9">
        <v>9975491.7573046703</v>
      </c>
      <c r="N101" s="9">
        <v>9718935.6156471204</v>
      </c>
      <c r="O101" s="9">
        <v>9653079.0704981461</v>
      </c>
      <c r="P101" s="9">
        <v>9650895.7053124961</v>
      </c>
      <c r="Q101" s="9">
        <v>9644651.081130581</v>
      </c>
      <c r="R101" s="1" t="s">
        <v>11</v>
      </c>
      <c r="S101" s="1" t="s">
        <v>11</v>
      </c>
      <c r="T101" s="1" t="s">
        <v>11</v>
      </c>
      <c r="U101" s="1" t="s">
        <v>11</v>
      </c>
      <c r="V101" s="1" t="s">
        <v>11</v>
      </c>
      <c r="W101" s="1" t="s">
        <v>11</v>
      </c>
      <c r="X101" s="1" t="s">
        <v>11</v>
      </c>
      <c r="Y101" s="1" t="s">
        <v>11</v>
      </c>
      <c r="Z101" s="1" t="s">
        <v>11</v>
      </c>
      <c r="AA101" s="1" t="s">
        <v>11</v>
      </c>
    </row>
    <row r="102" spans="3:27" x14ac:dyDescent="0.3">
      <c r="C102" s="12" t="s">
        <v>28</v>
      </c>
      <c r="D102" s="1">
        <v>6936281</v>
      </c>
      <c r="E102" s="1">
        <v>21936281</v>
      </c>
      <c r="F102" s="1">
        <v>21767538</v>
      </c>
      <c r="G102" s="1">
        <v>25515798</v>
      </c>
      <c r="H102" s="1">
        <v>25644750</v>
      </c>
      <c r="I102" s="1">
        <v>25593031</v>
      </c>
      <c r="J102" s="9">
        <v>23891507.733473364</v>
      </c>
      <c r="K102" s="9">
        <v>23246010.894867908</v>
      </c>
      <c r="L102" s="9">
        <v>22874442.232607983</v>
      </c>
      <c r="M102" s="9">
        <v>22600000.301401637</v>
      </c>
      <c r="N102" s="9">
        <v>21834589.340684753</v>
      </c>
      <c r="O102" s="9">
        <v>21828404.691752657</v>
      </c>
      <c r="P102" s="9">
        <v>21826642.032924082</v>
      </c>
      <c r="Q102" s="1" t="s">
        <v>11</v>
      </c>
      <c r="R102" s="1" t="s">
        <v>11</v>
      </c>
      <c r="S102" s="1" t="s">
        <v>11</v>
      </c>
      <c r="T102" s="1" t="s">
        <v>11</v>
      </c>
      <c r="U102" s="1" t="s">
        <v>11</v>
      </c>
      <c r="V102" s="1" t="s">
        <v>11</v>
      </c>
      <c r="W102" s="1" t="s">
        <v>11</v>
      </c>
      <c r="X102" s="1" t="s">
        <v>11</v>
      </c>
      <c r="Y102" s="1" t="s">
        <v>11</v>
      </c>
      <c r="Z102" s="1" t="s">
        <v>11</v>
      </c>
      <c r="AA102" s="1" t="s">
        <v>11</v>
      </c>
    </row>
    <row r="103" spans="3:27" x14ac:dyDescent="0.3">
      <c r="C103" s="12" t="s">
        <v>29</v>
      </c>
      <c r="D103" s="1">
        <v>6691248</v>
      </c>
      <c r="E103" s="1">
        <v>11756013</v>
      </c>
      <c r="F103" s="1">
        <v>11113520</v>
      </c>
      <c r="G103" s="1">
        <v>14458725</v>
      </c>
      <c r="H103" s="1">
        <v>14275150</v>
      </c>
      <c r="I103" s="9">
        <v>14354593.073899878</v>
      </c>
      <c r="J103" s="9">
        <v>12402781.167541984</v>
      </c>
      <c r="K103" s="9">
        <v>12036804.734843614</v>
      </c>
      <c r="L103" s="9">
        <v>11521528.254948137</v>
      </c>
      <c r="M103" s="9">
        <v>11193651.338659037</v>
      </c>
      <c r="N103" s="9">
        <v>10757465.996110424</v>
      </c>
      <c r="O103" s="9">
        <v>10684572.258248758</v>
      </c>
      <c r="P103" s="1" t="s">
        <v>11</v>
      </c>
      <c r="Q103" s="1" t="s">
        <v>11</v>
      </c>
      <c r="R103" s="1" t="s">
        <v>11</v>
      </c>
      <c r="S103" s="1" t="s">
        <v>11</v>
      </c>
      <c r="T103" s="1" t="s">
        <v>11</v>
      </c>
      <c r="U103" s="1" t="s">
        <v>11</v>
      </c>
      <c r="V103" s="1" t="s">
        <v>11</v>
      </c>
      <c r="W103" s="1" t="s">
        <v>11</v>
      </c>
      <c r="X103" s="1" t="s">
        <v>11</v>
      </c>
      <c r="Y103" s="1" t="s">
        <v>11</v>
      </c>
      <c r="Z103" s="1" t="s">
        <v>11</v>
      </c>
      <c r="AA103" s="1" t="s">
        <v>11</v>
      </c>
    </row>
    <row r="104" spans="3:27" x14ac:dyDescent="0.3">
      <c r="C104" s="12" t="s">
        <v>30</v>
      </c>
      <c r="D104" s="1">
        <v>4191817</v>
      </c>
      <c r="E104" s="1">
        <v>9775450</v>
      </c>
      <c r="F104" s="1">
        <v>9803541</v>
      </c>
      <c r="G104" s="1">
        <v>12735195</v>
      </c>
      <c r="H104" s="9">
        <v>10961457.47058348</v>
      </c>
      <c r="I104" s="9">
        <v>10971715.327517381</v>
      </c>
      <c r="J104" s="9">
        <v>10837814.846004097</v>
      </c>
      <c r="K104" s="9">
        <v>10574707.312378405</v>
      </c>
      <c r="L104" s="9">
        <v>10301866.153651753</v>
      </c>
      <c r="M104" s="9">
        <v>9777026.4520721342</v>
      </c>
      <c r="N104" s="9">
        <v>9725705.387888914</v>
      </c>
      <c r="O104" s="1" t="s">
        <v>11</v>
      </c>
      <c r="P104" s="1" t="s">
        <v>11</v>
      </c>
      <c r="Q104" s="1" t="s">
        <v>11</v>
      </c>
      <c r="R104" s="1" t="s">
        <v>11</v>
      </c>
      <c r="S104" s="1" t="s">
        <v>11</v>
      </c>
      <c r="T104" s="1" t="s">
        <v>11</v>
      </c>
      <c r="U104" s="1" t="s">
        <v>11</v>
      </c>
      <c r="V104" s="1" t="s">
        <v>11</v>
      </c>
      <c r="W104" s="1" t="s">
        <v>11</v>
      </c>
      <c r="X104" s="1" t="s">
        <v>11</v>
      </c>
      <c r="Y104" s="1" t="s">
        <v>11</v>
      </c>
      <c r="Z104" s="1" t="s">
        <v>11</v>
      </c>
      <c r="AA104" s="1" t="s">
        <v>11</v>
      </c>
    </row>
    <row r="105" spans="3:27" x14ac:dyDescent="0.3">
      <c r="C105" s="12" t="s">
        <v>31</v>
      </c>
      <c r="D105" s="1">
        <v>5916671</v>
      </c>
      <c r="E105" s="1">
        <v>11716355</v>
      </c>
      <c r="F105" s="1">
        <v>11277873</v>
      </c>
      <c r="G105" s="9">
        <v>15722486.162974082</v>
      </c>
      <c r="H105" s="9">
        <v>13206996.684580598</v>
      </c>
      <c r="I105" s="9">
        <v>13438643.582781073</v>
      </c>
      <c r="J105" s="9">
        <v>12823617.884306055</v>
      </c>
      <c r="K105" s="9">
        <v>12445223.565790841</v>
      </c>
      <c r="L105" s="9">
        <v>11992843.644415259</v>
      </c>
      <c r="M105" s="9">
        <v>11381855.267596291</v>
      </c>
      <c r="N105" s="1" t="s">
        <v>11</v>
      </c>
      <c r="O105" s="1" t="s">
        <v>11</v>
      </c>
      <c r="P105" s="1" t="s">
        <v>11</v>
      </c>
      <c r="Q105" s="1" t="s">
        <v>11</v>
      </c>
      <c r="R105" s="1" t="s">
        <v>11</v>
      </c>
      <c r="S105" s="1" t="s">
        <v>11</v>
      </c>
      <c r="T105" s="1" t="s">
        <v>11</v>
      </c>
      <c r="U105" s="1" t="s">
        <v>11</v>
      </c>
      <c r="V105" s="1" t="s">
        <v>11</v>
      </c>
      <c r="W105" s="1" t="s">
        <v>11</v>
      </c>
      <c r="X105" s="1" t="s">
        <v>11</v>
      </c>
      <c r="Y105" s="1" t="s">
        <v>11</v>
      </c>
      <c r="Z105" s="1" t="s">
        <v>11</v>
      </c>
      <c r="AA105" s="1" t="s">
        <v>11</v>
      </c>
    </row>
    <row r="106" spans="3:27" x14ac:dyDescent="0.3">
      <c r="C106" s="12" t="s">
        <v>32</v>
      </c>
      <c r="D106" s="1">
        <v>4926500</v>
      </c>
      <c r="E106" s="1">
        <v>9321834</v>
      </c>
      <c r="F106" s="9">
        <v>8133738.8424170464</v>
      </c>
      <c r="G106" s="9">
        <v>7763397.5761043355</v>
      </c>
      <c r="H106" s="9">
        <v>7841326.762728286</v>
      </c>
      <c r="I106" s="9">
        <v>7848664.7657557027</v>
      </c>
      <c r="J106" s="9">
        <v>7386204.3868308086</v>
      </c>
      <c r="K106" s="9">
        <v>7186645.1277760481</v>
      </c>
      <c r="L106" s="9">
        <v>6833590.5297694504</v>
      </c>
      <c r="M106" s="1" t="s">
        <v>11</v>
      </c>
      <c r="N106" s="1" t="s">
        <v>11</v>
      </c>
      <c r="O106" s="1" t="s">
        <v>11</v>
      </c>
      <c r="P106" s="1" t="s">
        <v>11</v>
      </c>
      <c r="Q106" s="1" t="s">
        <v>11</v>
      </c>
      <c r="R106" s="1" t="s">
        <v>11</v>
      </c>
      <c r="S106" s="1" t="s">
        <v>11</v>
      </c>
      <c r="T106" s="1" t="s">
        <v>11</v>
      </c>
      <c r="U106" s="1" t="s">
        <v>11</v>
      </c>
      <c r="V106" s="1" t="s">
        <v>11</v>
      </c>
      <c r="W106" s="1" t="s">
        <v>11</v>
      </c>
      <c r="X106" s="1" t="s">
        <v>11</v>
      </c>
      <c r="Y106" s="1" t="s">
        <v>11</v>
      </c>
      <c r="Z106" s="1" t="s">
        <v>11</v>
      </c>
      <c r="AA106" s="1" t="s">
        <v>11</v>
      </c>
    </row>
    <row r="107" spans="3:27" x14ac:dyDescent="0.3">
      <c r="C107" s="12" t="s">
        <v>33</v>
      </c>
      <c r="D107" s="1">
        <v>5149958</v>
      </c>
      <c r="E107" s="9">
        <v>7430194.0627911901</v>
      </c>
      <c r="F107" s="9">
        <v>6483193.9782687854</v>
      </c>
      <c r="G107" s="9">
        <v>5919311.0521294549</v>
      </c>
      <c r="H107" s="9">
        <v>5659337.7573409975</v>
      </c>
      <c r="I107" s="9">
        <v>5168575.1068367027</v>
      </c>
      <c r="J107" s="9">
        <v>5065483.4314163839</v>
      </c>
      <c r="K107" s="9">
        <v>4909309.1307235686</v>
      </c>
      <c r="L107" s="1" t="s">
        <v>11</v>
      </c>
      <c r="M107" s="1" t="s">
        <v>11</v>
      </c>
      <c r="N107" s="1" t="s">
        <v>11</v>
      </c>
      <c r="O107" s="1" t="s">
        <v>11</v>
      </c>
      <c r="P107" s="1" t="s">
        <v>11</v>
      </c>
      <c r="Q107" s="1" t="s">
        <v>11</v>
      </c>
      <c r="R107" s="1" t="s">
        <v>11</v>
      </c>
      <c r="S107" s="1" t="s">
        <v>11</v>
      </c>
      <c r="T107" s="1" t="s">
        <v>11</v>
      </c>
      <c r="U107" s="1" t="s">
        <v>11</v>
      </c>
      <c r="V107" s="1" t="s">
        <v>11</v>
      </c>
      <c r="W107" s="1" t="s">
        <v>11</v>
      </c>
      <c r="X107" s="1" t="s">
        <v>11</v>
      </c>
      <c r="Y107" s="1" t="s">
        <v>11</v>
      </c>
      <c r="Z107" s="1" t="s">
        <v>11</v>
      </c>
      <c r="AA107" s="1" t="s">
        <v>11</v>
      </c>
    </row>
  </sheetData>
  <mergeCells count="4">
    <mergeCell ref="C13:AA13"/>
    <mergeCell ref="F50:H50"/>
    <mergeCell ref="I50:K50"/>
    <mergeCell ref="C81:AA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Nombre Equipo</vt:lpstr>
      <vt:lpstr>Triangulo1</vt:lpstr>
      <vt:lpstr>triangulo2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Eugenia Medina Diaz</dc:creator>
  <cp:lastModifiedBy>Karla Eugenia Medina Diaz</cp:lastModifiedBy>
  <dcterms:created xsi:type="dcterms:W3CDTF">2026-09-04T01:46:11Z</dcterms:created>
  <dcterms:modified xsi:type="dcterms:W3CDTF">2026-09-04T01:49:29Z</dcterms:modified>
</cp:coreProperties>
</file>